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be256ff1a3742b4" /></Relationships>
</file>

<file path=xl/workbook.xml><?xml version="1.0" encoding="utf-8"?>
<x:workbook xmlns:x="http://schemas.openxmlformats.org/spreadsheetml/2006/main">
  <x:sheets>
    <x:sheet xmlns:r="http://schemas.openxmlformats.org/officeDocument/2006/relationships" name="Cover" sheetId="1" r:id="Rfa7f1b2e97d54e64"/>
    <x:sheet xmlns:r="http://schemas.openxmlformats.org/officeDocument/2006/relationships" name="Dashboard" sheetId="2" r:id="R4d9ed89bb4a24449"/>
    <x:sheet xmlns:r="http://schemas.openxmlformats.org/officeDocument/2006/relationships" name="Assumptions" sheetId="3" r:id="R250d750788c6434c"/>
    <x:sheet xmlns:r="http://schemas.openxmlformats.org/officeDocument/2006/relationships" name="Historical_Financials" sheetId="4" r:id="R08e7b2ee9cdc4ff6"/>
    <x:sheet xmlns:r="http://schemas.openxmlformats.org/officeDocument/2006/relationships" name="Ratios" sheetId="5" r:id="R0956666e784d4510"/>
    <x:sheet xmlns:r="http://schemas.openxmlformats.org/officeDocument/2006/relationships" name="Valuation_DCF" sheetId="6" r:id="R116150faa5ff49a2"/>
    <x:sheet xmlns:r="http://schemas.openxmlformats.org/officeDocument/2006/relationships" name="Sensitivity" sheetId="7" r:id="R94668cce71ef4444"/>
    <x:sheet xmlns:r="http://schemas.openxmlformats.org/officeDocument/2006/relationships" name="Checks" sheetId="8" r:id="R82107f1e9a6048bf"/>
    <x:sheet xmlns:r="http://schemas.openxmlformats.org/officeDocument/2006/relationships" name="Sources" sheetId="9" r:id="R392ab479aca847c9"/>
  </x:sheets>
</x:workbook>
</file>

<file path=xl/comments1.xml><?xml version="1.0" encoding="utf-8"?>
<x:comments xmlns:x="http://schemas.openxmlformats.org/spreadsheetml/2006/main">
  <x:authors>
    <x:author>tc={C91378B9-C6AD-48DA-84C5-D6E23FC06B48}</x:author>
    <x:author>tc={07EC4FE6-B14B-1EB3-D591-00C61FACB50B}</x:author>
    <x:author>tc={6BA65BCD-F44D-EAFC-FAF8-F17259B67C54}</x:author>
    <x:author>tc={12F840CA-5163-C527-0271-422EE0005BBD}</x:author>
  </x:authors>
  <x:commentList>
    <x:comment ref="B11" authorId="0">
      <x:text>
        <x:r>
          <x:t>[Threaded comment]
Your version of Excel allows you to read this threaded comment; however, any edits to it will get removed if the file is opened in a newer version of Excel. Learn more: https://go.microsoft.com/fwlink/?linkid=870924
Comment:
    Source: replace with current market price source URL on Sources sheet. The current value is illustrative.</x:t>
        </x:r>
      </x:text>
    </x:comment>
    <x:comment ref="B12" authorId="1">
      <x:text>
        <x:r>
          <x:t>[Threaded comment]
Your version of Excel allows you to read this threaded comment; however, any edits to it will get removed if the file is opened in a newer version of Excel. Learn more: https://go.microsoft.com/fwlink/?linkid=870924
Comment:
    Source: replace with diluted share count from the company's latest filing.</x:t>
        </x:r>
      </x:text>
    </x:comment>
    <x:comment ref="B13" authorId="2">
      <x:text>
        <x:r>
          <x:t>[Threaded comment]
Your version of Excel allows you to read this threaded comment; however, any edits to it will get removed if the file is opened in a newer version of Excel. Learn more: https://go.microsoft.com/fwlink/?linkid=870924
Comment:
    Source: replace with cash and equivalents from latest balance sheet.</x:t>
        </x:r>
      </x:text>
    </x:comment>
    <x:comment ref="B14" authorId="3">
      <x:text>
        <x:r>
          <x:t>[Threaded comment]
Your version of Excel allows you to read this threaded comment; however, any edits to it will get removed if the file is opened in a newer version of Excel. Learn more: https://go.microsoft.com/fwlink/?linkid=870924
Comment:
    Source: replace with total debt from latest balance sheet.</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yyyy-mm-dd"/>
    <x:numFmt numFmtId="201" formatCode="&quot;$&quot;0.00;[Red](&quot;$&quot;0.00);-"/>
    <x:numFmt numFmtId="202" formatCode="0.0%;[Red](0.0%);-"/>
    <x:numFmt numFmtId="203" formatCode="&quot;$&quot;#,##0;[Red](&quot;$&quot;#,##0);-"/>
    <x:numFmt numFmtId="204" formatCode="0.0x;[Red](0.0x);-"/>
    <x:numFmt numFmtId="205" formatCode="#,##0.0;[Red](#,##0.0);-"/>
    <x:numFmt numFmtId="206" formatCode="0.000x"/>
    <x:numFmt numFmtId="207" formatCode="General"/>
  </x:numFmts>
  <x:fonts count="12">
    <x:font>
      <x:sz val="11"/>
      <x:name val="Carlito"/>
    </x:font>
    <x:font>
      <x:b/>
      <x:sz val="16"/>
      <x:color rgb="FFFFFFFF"/>
      <x:name val="Carlito"/>
    </x:font>
    <x:font>
      <x:b/>
      <x:sz val="11"/>
      <x:name val="Carlito"/>
    </x:font>
    <x:font>
      <x:sz val="11"/>
      <x:color rgb="FF008000"/>
      <x:name val="Carlito"/>
    </x:font>
    <x:font>
      <x:b/>
      <x:sz val="11"/>
      <x:color rgb="FF008000"/>
      <x:name val="Carlito"/>
    </x:font>
    <x:font>
      <x:b/>
      <x:sz val="11"/>
      <x:color rgb="FFFFFFFF"/>
      <x:name val="Carlito"/>
    </x:font>
    <x:font>
      <x:b/>
      <x:sz val="11"/>
      <x:color rgb="FF000000"/>
      <x:name val="Carlito"/>
    </x:font>
    <x:font>
      <x:sz val="11"/>
      <x:color rgb="FF0000FF"/>
      <x:name val="Carlito"/>
    </x:font>
    <x:font>
      <x:sz val="11"/>
      <x:color rgb="FF000000"/>
      <x:name val="Carlito"/>
    </x:font>
    <x:font>
      <x:i/>
      <x:sz val="9"/>
      <x:color rgb="FF475569"/>
      <x:name val="Carlito"/>
    </x:font>
    <x:font>
      <x:sz val="11"/>
      <x:name val="Carlito"/>
    </x:font>
    <x:font>
      <x:b/>
      <x:sz val="11"/>
      <x:color rgb="FF0000FF"/>
      <x:name val="Carlito"/>
    </x:font>
  </x:fonts>
  <x:fills count="10">
    <x:fill>
      <x:patternFill patternType="none"/>
    </x:fill>
    <x:fill>
      <x:patternFill patternType="gray125"/>
    </x:fill>
    <x:fill>
      <x:patternFill patternType="solid">
        <x:fgColor rgb="FF17324D"/>
      </x:patternFill>
    </x:fill>
    <x:fill>
      <x:patternFill patternType="solid">
        <x:fgColor rgb="FFF3F6F8"/>
      </x:patternFill>
    </x:fill>
    <x:fill>
      <x:patternFill patternType="solid">
        <x:fgColor rgb="FFE6F4EA"/>
      </x:patternFill>
    </x:fill>
    <x:fill>
      <x:patternFill patternType="solid">
        <x:fgColor rgb="FF334155"/>
      </x:patternFill>
    </x:fill>
    <x:fill>
      <x:patternFill patternType="solid">
        <x:fgColor rgb="FFEAF3FF"/>
      </x:patternFill>
    </x:fill>
    <x:fill>
      <x:patternFill patternType="solid">
        <x:fgColor rgb="FFFFFF00"/>
      </x:patternFill>
    </x:fill>
    <x:fill>
      <x:patternFill patternType="solid">
        <x:fgColor rgb="FFFAFAFA"/>
      </x:patternFill>
    </x:fill>
    <x:fill>
      <x:patternFill patternType="solid">
        <x:fgColor rgb="FFE7F5F1"/>
      </x:patternFill>
    </x:fill>
  </x:fills>
  <x:borders count="17">
    <x:border/>
    <x:border>
      <x:right style="thin">
        <x:color rgb="FFD9E2EC"/>
      </x:right>
    </x:border>
    <x:border>
      <x:left style="thin">
        <x:color rgb="FFD9E2EC"/>
      </x:left>
      <x:right style="thin">
        <x:color rgb="FFD9E2EC"/>
      </x:right>
    </x:border>
    <x:border>
      <x:left style="thin">
        <x:color rgb="FFD9E2EC"/>
      </x:left>
    </x:border>
    <x:border>
      <x:left style="thin">
        <x:color rgb="FFD9E2EC"/>
      </x:left>
      <x:right style="thin">
        <x:color rgb="FFD9E2EC"/>
      </x:right>
      <x:top style="thin">
        <x:color rgb="FFD9E2EC"/>
      </x:top>
    </x:border>
    <x:border>
      <x:left style="thin">
        <x:color rgb="FFD9E2EC"/>
      </x:left>
      <x:right style="thin">
        <x:color rgb="FFD9E2EC"/>
      </x:right>
      <x:bottom style="thin">
        <x:color rgb="FFD9E2EC"/>
      </x:bottom>
    </x:border>
    <x:border>
      <x:left style="thin">
        <x:color rgb="FFD9E2EC"/>
      </x:left>
      <x:top style="thin">
        <x:color rgb="FFD9E2EC"/>
      </x:top>
    </x:border>
    <x:border>
      <x:top style="thin">
        <x:color rgb="FFD9E2EC"/>
      </x:top>
    </x:border>
    <x:border>
      <x:right style="thin">
        <x:color rgb="FFD9E2EC"/>
      </x:right>
      <x:top style="thin">
        <x:color rgb="FFD9E2EC"/>
      </x:top>
    </x:border>
    <x:border>
      <x:left style="thin">
        <x:color rgb="FFD9E2EC"/>
      </x:left>
      <x:bottom style="thin">
        <x:color rgb="FFD9E2EC"/>
      </x:bottom>
    </x:border>
    <x:border>
      <x:bottom style="thin">
        <x:color rgb="FFD9E2EC"/>
      </x:bottom>
    </x:border>
    <x:border>
      <x:right style="thin">
        <x:color rgb="FFD9E2EC"/>
      </x:right>
      <x:bottom style="thin">
        <x:color rgb="FFD9E2EC"/>
      </x:bottom>
    </x:border>
    <x:border>
      <x:right style="thin">
        <x:color rgb="FFD9E2EC"/>
      </x:right>
      <x:top style="thin">
        <x:color rgb="FFD9E2EC"/>
      </x:top>
      <x:bottom style="thin">
        <x:color rgb="FFD9E2EC"/>
      </x:bottom>
    </x:border>
    <x:border>
      <x:left style="thin">
        <x:color rgb="FFD9E2EC"/>
      </x:left>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bottom style="double">
        <x:color rgb="FF334155"/>
      </x:bottom>
    </x:border>
    <x:border>
      <x:top style="thin">
        <x:color rgb="FFD9E2EC"/>
      </x:top>
      <x:bottom style="thin">
        <x:color rgb="FFD9E2EC"/>
      </x:bottom>
    </x:border>
  </x:borders>
  <x:cellStyleXfs count="1">
    <x:xf numFmtId="0" fontId="0" fillId="0" borderId="0"/>
  </x:cellStyleXfs>
  <x:cellXfs count="15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0" borderId="0" xfId="0" applyNumberFormat="1" applyFont="1" applyFill="1" applyBorder="1" applyAlignment="1">
      <x:alignment wrapText="1"/>
    </x:xf>
    <x:xf numFmtId="0" fontId="3" fillId="0" borderId="0" xfId="0" applyNumberFormat="1" applyFont="1" applyFill="1" applyBorder="1" applyAlignment="1">
      <x:alignment wrapText="1"/>
    </x:xf>
    <x:xf numFmtId="200" fontId="3" fillId="0" borderId="0" xfId="0" applyNumberFormat="1" applyFont="1" applyFill="1" applyBorder="1" applyAlignment="1">
      <x:alignment wrapText="1"/>
    </x:xf>
    <x:xf numFmtId="0" fontId="3" fillId="4" borderId="0" xfId="0" applyNumberFormat="1" applyFont="1" applyFill="1" applyBorder="1" applyAlignment="1">
      <x:alignment wrapText="1"/>
    </x:xf>
    <x:xf numFmtId="0" fontId="4" fillId="4"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left"/>
    </x:xf>
    <x:xf numFmtId="0" fontId="0" fillId="6" borderId="0" xfId="0" applyNumberFormat="1" applyFont="1" applyFill="1" applyBorder="1"/>
    <x:xf numFmtId="0" fontId="6" fillId="6" borderId="0" xfId="0" applyNumberFormat="1" applyFont="1" applyFill="1" applyBorder="1"/>
    <x:xf numFmtId="0" fontId="6" fillId="6" borderId="1" xfId="0" applyNumberFormat="1" applyFont="1" applyFill="1" applyBorder="1"/>
    <x:xf numFmtId="0" fontId="6" fillId="6" borderId="2" xfId="0" applyNumberFormat="1" applyFont="1" applyFill="1" applyBorder="1"/>
    <x:xf numFmtId="0" fontId="6" fillId="6" borderId="3" xfId="0" applyNumberFormat="1" applyFont="1" applyFill="1" applyBorder="1"/>
    <x:xf numFmtId="0" fontId="6" fillId="6" borderId="1" xfId="0" applyNumberFormat="1" applyFont="1" applyFill="1" applyBorder="1" applyAlignment="1">
      <x:alignment horizontal="center"/>
    </x:xf>
    <x:xf numFmtId="0" fontId="6" fillId="6" borderId="2" xfId="0" applyNumberFormat="1" applyFont="1" applyFill="1" applyBorder="1" applyAlignment="1">
      <x:alignment horizontal="center"/>
    </x:xf>
    <x:xf numFmtId="0" fontId="6" fillId="6" borderId="3" xfId="0" applyNumberFormat="1" applyFont="1" applyFill="1" applyBorder="1" applyAlignment="1">
      <x:alignment horizontal="center"/>
    </x:xf>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204" fontId="0" fillId="0" borderId="0" xfId="0" applyNumberFormat="1" applyFont="1" applyFill="1" applyBorder="1"/>
    <x:xf numFmtId="201" fontId="3" fillId="0" borderId="0" xfId="0" applyNumberFormat="1" applyFont="1" applyFill="1" applyBorder="1"/>
    <x:xf numFmtId="202" fontId="3" fillId="0" borderId="0" xfId="0" applyNumberFormat="1" applyFont="1" applyFill="1" applyBorder="1"/>
    <x:xf numFmtId="203" fontId="3" fillId="0" borderId="0" xfId="0" applyNumberFormat="1" applyFont="1" applyFill="1" applyBorder="1"/>
    <x:xf numFmtId="204" fontId="3" fillId="0" borderId="0" xfId="0" applyNumberFormat="1" applyFont="1" applyFill="1" applyBorder="1"/>
    <x:xf numFmtId="0" fontId="2" fillId="6" borderId="0"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8" fillId="0" borderId="0" xfId="0" applyNumberFormat="1" applyFont="1" applyFill="1" applyBorder="1"/>
    <x:xf numFmtId="0" fontId="3" fillId="0" borderId="0" xfId="0" applyNumberFormat="1" applyFont="1" applyFill="1" applyBorder="1"/>
    <x:xf numFmtId="0" fontId="0" fillId="8" borderId="0" xfId="0" applyNumberFormat="1" applyFont="1" applyFill="1" applyBorder="1"/>
    <x:xf numFmtId="0" fontId="9" fillId="8" borderId="0" xfId="0" applyNumberFormat="1" applyFont="1" applyFill="1" applyBorder="1"/>
    <x:xf numFmtId="0" fontId="9" fillId="8" borderId="0" xfId="0" applyNumberFormat="1" applyFont="1" applyFill="1" applyBorder="1" applyAlignment="1">
      <x:alignment wrapText="1"/>
    </x:xf>
    <x:xf numFmtId="0" fontId="9" fillId="8" borderId="0" xfId="0" applyNumberFormat="1" applyFont="1" applyFill="1" applyBorder="1" applyAlignment="1">
      <x:alignment vertical="top" wrapText="1"/>
    </x:xf>
    <x:xf numFmtId="0" fontId="7" fillId="7" borderId="4" xfId="0" applyNumberFormat="1" applyFont="1" applyFill="1" applyBorder="1"/>
    <x:xf numFmtId="0" fontId="7" fillId="7" borderId="2" xfId="0" applyNumberFormat="1" applyFont="1" applyFill="1" applyBorder="1"/>
    <x:xf numFmtId="0" fontId="7" fillId="7" borderId="5" xfId="0" applyNumberFormat="1" applyFont="1" applyFill="1" applyBorder="1"/>
    <x:xf numFmtId="200" fontId="7" fillId="7" borderId="2" xfId="0" applyNumberFormat="1" applyFont="1" applyFill="1" applyBorder="1"/>
    <x:xf numFmtId="201" fontId="7" fillId="7" borderId="2" xfId="0" applyNumberFormat="1" applyFont="1" applyFill="1" applyBorder="1"/>
    <x:xf numFmtId="205" fontId="7" fillId="7" borderId="2" xfId="0" applyNumberFormat="1" applyFont="1" applyFill="1" applyBorder="1"/>
    <x:xf numFmtId="203" fontId="7" fillId="7" borderId="2" xfId="0" applyNumberFormat="1" applyFont="1" applyFill="1" applyBorder="1"/>
    <x:xf numFmtId="203" fontId="7" fillId="7" borderId="5" xfId="0" applyNumberFormat="1" applyFont="1" applyFill="1" applyBorder="1"/>
    <x:xf numFmtId="202" fontId="7" fillId="7" borderId="4" xfId="0" applyNumberFormat="1" applyFont="1" applyFill="1" applyBorder="1"/>
    <x:xf numFmtId="202" fontId="7" fillId="7" borderId="2" xfId="0" applyNumberFormat="1" applyFont="1" applyFill="1" applyBorder="1"/>
    <x:xf numFmtId="0" fontId="7" fillId="7" borderId="6" xfId="0" applyNumberFormat="1" applyFont="1" applyFill="1" applyBorder="1"/>
    <x:xf numFmtId="0" fontId="7" fillId="7" borderId="7" xfId="0" applyNumberFormat="1" applyFont="1" applyFill="1" applyBorder="1"/>
    <x:xf numFmtId="0" fontId="7" fillId="7" borderId="8" xfId="0" applyNumberFormat="1" applyFont="1" applyFill="1" applyBorder="1"/>
    <x:xf numFmtId="0" fontId="7" fillId="7" borderId="3" xfId="0" applyNumberFormat="1" applyFont="1" applyFill="1" applyBorder="1"/>
    <x:xf numFmtId="0" fontId="7" fillId="7" borderId="1" xfId="0" applyNumberFormat="1" applyFont="1" applyFill="1" applyBorder="1"/>
    <x:xf numFmtId="0" fontId="7" fillId="7" borderId="9" xfId="0" applyNumberFormat="1" applyFont="1" applyFill="1" applyBorder="1"/>
    <x:xf numFmtId="0" fontId="7" fillId="7" borderId="10" xfId="0" applyNumberFormat="1" applyFont="1" applyFill="1" applyBorder="1"/>
    <x:xf numFmtId="0" fontId="7" fillId="7" borderId="11" xfId="0" applyNumberFormat="1" applyFont="1" applyFill="1" applyBorder="1"/>
    <x:xf numFmtId="202" fontId="7" fillId="7" borderId="6" xfId="0" applyNumberFormat="1" applyFont="1" applyFill="1" applyBorder="1"/>
    <x:xf numFmtId="202" fontId="7" fillId="7" borderId="7" xfId="0" applyNumberFormat="1" applyFont="1" applyFill="1" applyBorder="1"/>
    <x:xf numFmtId="202" fontId="7" fillId="7" borderId="8" xfId="0" applyNumberFormat="1" applyFont="1" applyFill="1" applyBorder="1"/>
    <x:xf numFmtId="202" fontId="7" fillId="7" borderId="3" xfId="0" applyNumberFormat="1" applyFont="1" applyFill="1" applyBorder="1"/>
    <x:xf numFmtId="202" fontId="7" fillId="7" borderId="0" xfId="0" applyNumberFormat="1" applyFont="1" applyFill="1" applyBorder="1"/>
    <x:xf numFmtId="202" fontId="7" fillId="7" borderId="1" xfId="0" applyNumberFormat="1" applyFont="1" applyFill="1" applyBorder="1"/>
    <x:xf numFmtId="204" fontId="7" fillId="7" borderId="3" xfId="0" applyNumberFormat="1" applyFont="1" applyFill="1" applyBorder="1"/>
    <x:xf numFmtId="204" fontId="7" fillId="7" borderId="0" xfId="0" applyNumberFormat="1" applyFont="1" applyFill="1" applyBorder="1"/>
    <x:xf numFmtId="204" fontId="7" fillId="7" borderId="1" xfId="0" applyNumberFormat="1" applyFont="1" applyFill="1" applyBorder="1"/>
    <x:xf numFmtId="202" fontId="7" fillId="7" borderId="9" xfId="0" applyNumberFormat="1" applyFont="1" applyFill="1" applyBorder="1"/>
    <x:xf numFmtId="202" fontId="7" fillId="7" borderId="10" xfId="0" applyNumberFormat="1" applyFont="1" applyFill="1" applyBorder="1"/>
    <x:xf numFmtId="202" fontId="7" fillId="7" borderId="11" xfId="0" applyNumberFormat="1" applyFont="1" applyFill="1" applyBorder="1"/>
    <x:xf numFmtId="202" fontId="8" fillId="0" borderId="0" xfId="0" applyNumberFormat="1" applyFont="1" applyFill="1" applyBorder="1"/>
    <x:xf numFmtId="204" fontId="8" fillId="0" borderId="0" xfId="0" applyNumberFormat="1" applyFont="1" applyFill="1" applyBorder="1"/>
    <x:xf numFmtId="0" fontId="6" fillId="6" borderId="11" xfId="0" applyNumberFormat="1" applyFont="1" applyFill="1" applyBorder="1"/>
    <x:xf numFmtId="0" fontId="6" fillId="6" borderId="5" xfId="0" applyNumberFormat="1" applyFont="1" applyFill="1" applyBorder="1"/>
    <x:xf numFmtId="0" fontId="6" fillId="6" borderId="9" xfId="0" applyNumberFormat="1" applyFont="1" applyFill="1" applyBorder="1"/>
    <x:xf numFmtId="0" fontId="6" fillId="6" borderId="12" xfId="0" applyNumberFormat="1" applyFont="1" applyFill="1" applyBorder="1"/>
    <x:xf numFmtId="0" fontId="6" fillId="6" borderId="13" xfId="0" applyNumberFormat="1" applyFont="1" applyFill="1" applyBorder="1"/>
    <x:xf numFmtId="0" fontId="6" fillId="6" borderId="14" xfId="0" applyNumberFormat="1" applyFont="1" applyFill="1" applyBorder="1"/>
    <x:xf numFmtId="0" fontId="6" fillId="6" borderId="8" xfId="0" applyNumberFormat="1" applyFont="1" applyFill="1" applyBorder="1"/>
    <x:xf numFmtId="0" fontId="6" fillId="6" borderId="4" xfId="0" applyNumberFormat="1" applyFont="1" applyFill="1" applyBorder="1"/>
    <x:xf numFmtId="0" fontId="6" fillId="6" borderId="6" xfId="0" applyNumberFormat="1" applyFont="1" applyFill="1" applyBorder="1"/>
    <x:xf numFmtId="0" fontId="6" fillId="6" borderId="11" xfId="0" applyNumberFormat="1" applyFont="1" applyFill="1" applyBorder="1" applyAlignment="1">
      <x:alignment horizontal="center"/>
    </x:xf>
    <x:xf numFmtId="0" fontId="6" fillId="6" borderId="5" xfId="0" applyNumberFormat="1" applyFont="1" applyFill="1" applyBorder="1" applyAlignment="1">
      <x:alignment horizontal="center"/>
    </x:xf>
    <x:xf numFmtId="0" fontId="6" fillId="6" borderId="9" xfId="0" applyNumberFormat="1" applyFont="1" applyFill="1" applyBorder="1" applyAlignment="1">
      <x:alignment horizontal="center"/>
    </x:xf>
    <x:xf numFmtId="0" fontId="6" fillId="6" borderId="12" xfId="0" applyNumberFormat="1" applyFont="1" applyFill="1" applyBorder="1" applyAlignment="1">
      <x:alignment horizontal="center"/>
    </x:xf>
    <x:xf numFmtId="0" fontId="6" fillId="6" borderId="13" xfId="0" applyNumberFormat="1" applyFont="1" applyFill="1" applyBorder="1" applyAlignment="1">
      <x:alignment horizontal="center"/>
    </x:xf>
    <x:xf numFmtId="0" fontId="6" fillId="6" borderId="14" xfId="0" applyNumberFormat="1" applyFont="1" applyFill="1" applyBorder="1" applyAlignment="1">
      <x:alignment horizontal="center"/>
    </x:xf>
    <x:xf numFmtId="0" fontId="6" fillId="6" borderId="8" xfId="0" applyNumberFormat="1" applyFont="1" applyFill="1" applyBorder="1" applyAlignment="1">
      <x:alignment horizontal="center"/>
    </x:xf>
    <x:xf numFmtId="0" fontId="6" fillId="6" borderId="4" xfId="0" applyNumberFormat="1" applyFont="1" applyFill="1" applyBorder="1" applyAlignment="1">
      <x:alignment horizontal="center"/>
    </x:xf>
    <x:xf numFmtId="0" fontId="6" fillId="6" borderId="6" xfId="0" applyNumberFormat="1" applyFont="1" applyFill="1" applyBorder="1" applyAlignment="1">
      <x:alignment horizontal="center"/>
    </x:xf>
    <x:xf numFmtId="0" fontId="7" fillId="0" borderId="0" xfId="0" applyNumberFormat="1" applyFont="1" applyFill="1" applyBorder="1"/>
    <x:xf numFmtId="0" fontId="10" fillId="0" borderId="0" xfId="0" applyNumberFormat="1" applyFont="1" applyFill="1" applyBorder="1"/>
    <x:xf numFmtId="0" fontId="10" fillId="3" borderId="0" xfId="0" applyNumberFormat="1" applyFont="1" applyFill="1" applyBorder="1"/>
    <x:xf numFmtId="0" fontId="7" fillId="3" borderId="0" xfId="0" applyNumberFormat="1" applyFont="1" applyFill="1" applyBorder="1"/>
    <x:xf numFmtId="0" fontId="3" fillId="3" borderId="0" xfId="0" applyNumberFormat="1" applyFont="1" applyFill="1" applyBorder="1"/>
    <x:xf numFmtId="0" fontId="6" fillId="3" borderId="0" xfId="0" applyNumberFormat="1" applyFont="1" applyFill="1" applyBorder="1"/>
    <x:xf numFmtId="0" fontId="6" fillId="3" borderId="15" xfId="0" applyNumberFormat="1" applyFont="1" applyFill="1" applyBorder="1"/>
    <x:xf numFmtId="0" fontId="8" fillId="3" borderId="0" xfId="0" applyNumberFormat="1" applyFont="1" applyFill="1" applyBorder="1"/>
    <x:xf numFmtId="203" fontId="6" fillId="3" borderId="15" xfId="0" applyNumberFormat="1" applyFont="1" applyFill="1" applyBorder="1"/>
    <x:xf numFmtId="203" fontId="8" fillId="0" borderId="0" xfId="0" applyNumberFormat="1" applyFont="1" applyFill="1" applyBorder="1"/>
    <x:xf numFmtId="205" fontId="8" fillId="0" borderId="0" xfId="0" applyNumberFormat="1" applyFont="1" applyFill="1" applyBorder="1"/>
    <x:xf numFmtId="205" fontId="3" fillId="0" borderId="0" xfId="0" applyNumberFormat="1" applyFont="1" applyFill="1" applyBorder="1"/>
    <x:xf numFmtId="201" fontId="8" fillId="0" borderId="0" xfId="0" applyNumberFormat="1" applyFont="1" applyFill="1" applyBorder="1"/>
    <x:xf numFmtId="0" fontId="6" fillId="9" borderId="5" xfId="0" applyNumberFormat="1" applyFont="1" applyFill="1" applyBorder="1" applyAlignment="1">
      <x:alignment horizontal="center"/>
    </x:xf>
    <x:xf numFmtId="0" fontId="6" fillId="9" borderId="9" xfId="0" applyNumberFormat="1" applyFont="1" applyFill="1" applyBorder="1" applyAlignment="1">
      <x:alignment horizontal="center"/>
    </x:xf>
    <x:xf numFmtId="203" fontId="6" fillId="7" borderId="15" xfId="0" applyNumberFormat="1" applyFont="1" applyFill="1" applyBorder="1"/>
    <x:xf numFmtId="203" fontId="11" fillId="7" borderId="15" xfId="0" applyNumberFormat="1" applyFont="1" applyFill="1" applyBorder="1"/>
    <x:xf numFmtId="203" fontId="11" fillId="7" borderId="14" xfId="0" applyNumberFormat="1" applyFont="1" applyFill="1" applyBorder="1"/>
    <x:xf numFmtId="203" fontId="11" fillId="7" borderId="16" xfId="0" applyNumberFormat="1" applyFont="1" applyFill="1" applyBorder="1"/>
    <x:xf numFmtId="203" fontId="11" fillId="7" borderId="12" xfId="0" applyNumberFormat="1" applyFont="1" applyFill="1" applyBorder="1"/>
    <x:xf numFmtId="203" fontId="8" fillId="7" borderId="0" xfId="0" applyNumberFormat="1" applyFont="1" applyFill="1" applyBorder="1"/>
    <x:xf numFmtId="203" fontId="7" fillId="7" borderId="0" xfId="0" applyNumberFormat="1" applyFont="1" applyFill="1" applyBorder="1"/>
    <x:xf numFmtId="203" fontId="7" fillId="7" borderId="14" xfId="0" applyNumberFormat="1" applyFont="1" applyFill="1" applyBorder="1"/>
    <x:xf numFmtId="203" fontId="7" fillId="7" borderId="16" xfId="0" applyNumberFormat="1" applyFont="1" applyFill="1" applyBorder="1"/>
    <x:xf numFmtId="203" fontId="7" fillId="7" borderId="12" xfId="0" applyNumberFormat="1" applyFont="1" applyFill="1" applyBorder="1"/>
    <x:xf numFmtId="203" fontId="7" fillId="7" borderId="6" xfId="0" applyNumberFormat="1" applyFont="1" applyFill="1" applyBorder="1"/>
    <x:xf numFmtId="203" fontId="7" fillId="7" borderId="7" xfId="0" applyNumberFormat="1" applyFont="1" applyFill="1" applyBorder="1"/>
    <x:xf numFmtId="203" fontId="7" fillId="7" borderId="8" xfId="0" applyNumberFormat="1" applyFont="1" applyFill="1" applyBorder="1"/>
    <x:xf numFmtId="203" fontId="7" fillId="7" borderId="9" xfId="0" applyNumberFormat="1" applyFont="1" applyFill="1" applyBorder="1"/>
    <x:xf numFmtId="203" fontId="7" fillId="7" borderId="10" xfId="0" applyNumberFormat="1" applyFont="1" applyFill="1" applyBorder="1"/>
    <x:xf numFmtId="203" fontId="7" fillId="7" borderId="11" xfId="0" applyNumberFormat="1" applyFont="1" applyFill="1" applyBorder="1"/>
    <x:xf numFmtId="205" fontId="8" fillId="7" borderId="0" xfId="0" applyNumberFormat="1" applyFont="1" applyFill="1" applyBorder="1"/>
    <x:xf numFmtId="205" fontId="7" fillId="7" borderId="0" xfId="0" applyNumberFormat="1" applyFont="1" applyFill="1" applyBorder="1"/>
    <x:xf numFmtId="205" fontId="7" fillId="7" borderId="14" xfId="0" applyNumberFormat="1" applyFont="1" applyFill="1" applyBorder="1"/>
    <x:xf numFmtId="205" fontId="7" fillId="7" borderId="16" xfId="0" applyNumberFormat="1" applyFont="1" applyFill="1" applyBorder="1"/>
    <x:xf numFmtId="205" fontId="7" fillId="7" borderId="12" xfId="0" applyNumberFormat="1" applyFont="1" applyFill="1" applyBorder="1"/>
    <x:xf numFmtId="0" fontId="4" fillId="6" borderId="2" xfId="0" applyNumberFormat="1" applyFont="1" applyFill="1" applyBorder="1" applyAlignment="1">
      <x:alignment horizontal="center"/>
    </x:xf>
    <x:xf numFmtId="0" fontId="4" fillId="6" borderId="3" xfId="0" applyNumberFormat="1" applyFont="1" applyFill="1" applyBorder="1" applyAlignment="1">
      <x:alignment horizontal="center"/>
    </x:xf>
    <x:xf numFmtId="206" fontId="8" fillId="0" borderId="0" xfId="0" applyNumberFormat="1" applyFont="1" applyFill="1" applyBorder="1"/>
    <x:xf numFmtId="203" fontId="8" fillId="3" borderId="0" xfId="0" applyNumberFormat="1" applyFont="1" applyFill="1" applyBorder="1"/>
    <x:xf numFmtId="203" fontId="6" fillId="3" borderId="0" xfId="0" applyNumberFormat="1" applyFont="1" applyFill="1" applyBorder="1"/>
    <x:xf numFmtId="201" fontId="8" fillId="3" borderId="0" xfId="0" applyNumberFormat="1" applyFont="1" applyFill="1" applyBorder="1"/>
    <x:xf numFmtId="201" fontId="6" fillId="3" borderId="0" xfId="0" applyNumberFormat="1" applyFont="1" applyFill="1" applyBorder="1"/>
    <x:xf numFmtId="201" fontId="6" fillId="3" borderId="15" xfId="0" applyNumberFormat="1" applyFont="1" applyFill="1" applyBorder="1"/>
    <x:xf numFmtId="0" fontId="6" fillId="6" borderId="10" xfId="0" applyNumberFormat="1" applyFont="1" applyFill="1" applyBorder="1"/>
    <x:xf numFmtId="0" fontId="6" fillId="6" borderId="16" xfId="0" applyNumberFormat="1" applyFont="1" applyFill="1" applyBorder="1"/>
    <x:xf numFmtId="0" fontId="6" fillId="6" borderId="7" xfId="0" applyNumberFormat="1" applyFont="1" applyFill="1" applyBorder="1"/>
    <x:xf numFmtId="0" fontId="6" fillId="6" borderId="10" xfId="0" applyNumberFormat="1" applyFont="1" applyFill="1" applyBorder="1" applyAlignment="1">
      <x:alignment horizontal="center"/>
    </x:xf>
    <x:xf numFmtId="0" fontId="6" fillId="6" borderId="16" xfId="0" applyNumberFormat="1" applyFont="1" applyFill="1" applyBorder="1" applyAlignment="1">
      <x:alignment horizontal="center"/>
    </x:xf>
    <x:xf numFmtId="0" fontId="6" fillId="6" borderId="7" xfId="0" applyNumberFormat="1" applyFont="1" applyFill="1" applyBorder="1" applyAlignment="1">
      <x:alignment horizontal="center"/>
    </x:xf>
    <x:xf numFmtId="202" fontId="6" fillId="6" borderId="10" xfId="0" applyNumberFormat="1" applyFont="1" applyFill="1" applyBorder="1" applyAlignment="1">
      <x:alignment horizontal="center"/>
    </x:xf>
    <x:xf numFmtId="202" fontId="6" fillId="6" borderId="16" xfId="0" applyNumberFormat="1" applyFont="1" applyFill="1" applyBorder="1" applyAlignment="1">
      <x:alignment horizontal="center"/>
    </x:xf>
    <x:xf numFmtId="202" fontId="6" fillId="6" borderId="7" xfId="0" applyNumberFormat="1" applyFont="1" applyFill="1" applyBorder="1" applyAlignment="1">
      <x:alignment horizontal="center"/>
    </x:xf>
    <x:xf numFmtId="202" fontId="6" fillId="6" borderId="2" xfId="0" applyNumberFormat="1" applyFont="1" applyFill="1" applyBorder="1" applyAlignment="1">
      <x:alignment horizontal="center"/>
    </x:xf>
    <x:xf numFmtId="202" fontId="6" fillId="6" borderId="3" xfId="0" applyNumberFormat="1" applyFont="1" applyFill="1" applyBorder="1" applyAlignment="1">
      <x:alignment horizontal="center"/>
    </x:xf>
    <x:xf numFmtId="204" fontId="6" fillId="6" borderId="2" xfId="0" applyNumberFormat="1" applyFont="1" applyFill="1" applyBorder="1" applyAlignment="1">
      <x:alignment horizontal="center"/>
    </x:xf>
    <x:xf numFmtId="204" fontId="6" fillId="6" borderId="3" xfId="0" applyNumberFormat="1" applyFont="1" applyFill="1" applyBorder="1" applyAlignment="1">
      <x:alignment horizontal="center"/>
    </x:xf>
    <x:xf numFmtId="0" fontId="5" fillId="2" borderId="0" xfId="0" applyNumberFormat="1" applyFont="1" applyFill="1" applyBorder="1"/>
    <x:xf numFmtId="0" fontId="5" fillId="2" borderId="0" xfId="0" applyNumberFormat="1" applyFont="1" applyFill="1" applyBorder="1" applyAlignment="1">
      <x:alignment horizontal="center"/>
    </x:xf>
    <x:xf numFmtId="207" fontId="8" fillId="0" borderId="0" xfId="0" applyNumberFormat="1" applyFont="1" applyFill="1" applyBorder="1"/>
    <x:xf numFmtId="0" fontId="6" fillId="0" borderId="0" xfId="0" applyNumberFormat="1" applyFont="1" applyFill="1" applyBorder="1"/>
    <x:xf numFmtId="205" fontId="0" fillId="0" borderId="0" xfId="0" applyNumberFormat="1" applyFont="1" applyFill="1" applyBorder="1"/>
    <x:xf numFmtId="200" fontId="0" fillId="0" borderId="0" xfId="0" applyNumberFormat="1" applyFont="1" applyFill="1" applyBorder="1"/>
  </x:cellXfs>
  <x:cellStyles count="1">
    <x:cellStyle name="Normal" xfId="0"/>
  </x:cellStyles>
  <x:dxfs count="4">
    <x:dxf>
      <x:font>
        <x:b/>
        <x:color rgb="FF0F5132"/>
      </x:font>
      <x:fill>
        <x:patternFill patternType="solid">
          <x:bgColor rgb="FFE6F4EA"/>
        </x:patternFill>
      </x:fill>
    </x:dxf>
    <x:dxf>
      <x:font>
        <x:b/>
        <x:color rgb="FF842029"/>
      </x:font>
      <x:fill>
        <x:patternFill patternType="solid">
          <x:bgColor rgb="FFFCE8E6"/>
        </x:patternFill>
      </x:fill>
    </x:dxf>
    <x:dxf>
      <x:font>
        <x:b/>
        <x:color rgb="FF0F5132"/>
      </x:font>
      <x:fill>
        <x:patternFill patternType="solid">
          <x:bgColor rgb="FFE6F4EA"/>
        </x:patternFill>
      </x:fill>
    </x:dxf>
    <x:dxf>
      <x:font>
        <x:b/>
        <x:color rgb="FF842029"/>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0cc72febc184928" /><Relationship Type="http://schemas.openxmlformats.org/officeDocument/2006/relationships/theme" Target="/xl/theme/theme1.xml" Id="R418b42146eed4cb6" /><Relationship Type="http://schemas.openxmlformats.org/officeDocument/2006/relationships/sharedStrings" Target="/xl/sharedStrings.xml" Id="R9475943dadde4d7b" /><Relationship Type="http://schemas.openxmlformats.org/officeDocument/2006/relationships/worksheet" Target="/xl/worksheets/sheet1.xml" Id="Rfa7f1b2e97d54e64" /><Relationship Type="http://schemas.openxmlformats.org/officeDocument/2006/relationships/worksheet" Target="/xl/worksheets/sheet2.xml" Id="R4d9ed89bb4a24449" /><Relationship Type="http://schemas.openxmlformats.org/officeDocument/2006/relationships/worksheet" Target="/xl/worksheets/sheet3.xml" Id="R250d750788c6434c" /><Relationship Type="http://schemas.openxmlformats.org/officeDocument/2006/relationships/worksheet" Target="/xl/worksheets/sheet4.xml" Id="R08e7b2ee9cdc4ff6" /><Relationship Type="http://schemas.openxmlformats.org/officeDocument/2006/relationships/worksheet" Target="/xl/worksheets/sheet5.xml" Id="R0956666e784d4510" /><Relationship Type="http://schemas.openxmlformats.org/officeDocument/2006/relationships/worksheet" Target="/xl/worksheets/sheet6.xml" Id="R116150faa5ff49a2" /><Relationship Type="http://schemas.openxmlformats.org/officeDocument/2006/relationships/worksheet" Target="/xl/worksheets/sheet7.xml" Id="R94668cce71ef4444" /><Relationship Type="http://schemas.openxmlformats.org/officeDocument/2006/relationships/worksheet" Target="/xl/worksheets/sheet8.xml" Id="R82107f1e9a6048bf" /><Relationship Type="http://schemas.openxmlformats.org/officeDocument/2006/relationships/worksheet" Target="/xl/worksheets/sheet9.xml" Id="R392ab479aca847c9" /><Relationship Type="http://schemas.microsoft.com/office/2017/10/relationships/person" Target="/xl/persons/person.xml" Id="Ra3b3a1f01a9446fa" /></Relationships>
</file>

<file path=xl/drawings/_rels/drawing1.xml.rels>&#65279;<?xml version="1.0" encoding="utf-8"?><Relationships xmlns="http://schemas.openxmlformats.org/package/2006/relationships"><Relationship Type="http://schemas.openxmlformats.org/officeDocument/2006/relationships/chart" Target="/xl/drawings/charts/chart1.xml" Id="Rc6bb154073e44bbd" /><Relationship Type="http://schemas.openxmlformats.org/officeDocument/2006/relationships/chart" Target="/xl/drawings/charts/chart2.xml" Id="R96668e867f7245ed" /><Relationship Type="http://schemas.openxmlformats.org/officeDocument/2006/relationships/chart" Target="/xl/drawings/charts/chart3.xml" Id="R36cf43984858441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Revenue and EBITDA Trend ($mm)</a:t>
            </a:r>
          </a:p>
        </c:rich>
      </c:tx>
      <c:overlay val="0"/>
    </c:title>
    <c:autoTitleDeleted val="0"/>
    <c:plotArea>
      <c:layout/>
      <c:lineChart>
        <c:grouping val="standard"/>
        <c:ser>
          <c:idx val="0"/>
          <c:order val="0"/>
          <c:tx>
            <c:v>Revenue</c:v>
          </c:tx>
          <c:dLbls>
            <c:showLegendKey val="0"/>
            <c:showVal val="0"/>
            <c:showCatName val="0"/>
            <c:showSerName val="0"/>
            <c:showPercent val="0"/>
            <c:showBubbleSize val="0"/>
            <c:showLeaderLines val="0"/>
          </c:dLbls>
          <c:cat>
            <c:strRef>
              <c:f>'Dashboard'!$A$13:$A$23</c:f>
              <c:strCache>
                <c:ptCount val="0"/>
              </c:strCache>
            </c:strRef>
          </c:cat>
          <c:val>
            <c:numRef>
              <c:f>'Dashboard'!$B$13:$B$23</c:f>
              <c:numCache>
                <c:formatCode>"$"#,##0;[Red]("$"#,##0);-</c:formatCode>
                <c:ptCount val="0"/>
              </c:numCache>
            </c:numRef>
          </c:val>
          <c:smooth val="0"/>
        </c:ser>
        <c:ser>
          <c:idx val="1"/>
          <c:order val="1"/>
          <c:tx>
            <c:v>EBITDA</c:v>
          </c:tx>
          <c:dLbls>
            <c:showLegendKey val="0"/>
            <c:showVal val="0"/>
            <c:showCatName val="0"/>
            <c:showSerName val="0"/>
            <c:showPercent val="0"/>
            <c:showBubbleSize val="0"/>
            <c:showLeaderLines val="0"/>
          </c:dLbls>
          <c:cat>
            <c:strRef>
              <c:f>'Dashboard'!$A$13:$A$23</c:f>
              <c:strCache>
                <c:ptCount val="0"/>
              </c:strCache>
            </c:strRef>
          </c:cat>
          <c:val>
            <c:numRef>
              <c:f>'Dashboard'!$C$13:$C$23</c:f>
              <c:numCache>
                <c:formatCode>"$"#,##0;[Red]("$"#,##0);-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Margin Trend (%)</a:t>
            </a:r>
          </a:p>
        </c:rich>
      </c:tx>
      <c:overlay val="0"/>
    </c:title>
    <c:autoTitleDeleted val="0"/>
    <c:plotArea>
      <c:layout/>
      <c:lineChart>
        <c:grouping val="standard"/>
        <c:ser>
          <c:idx val="0"/>
          <c:order val="0"/>
          <c:tx>
            <c:v>EBITDA Margin</c:v>
          </c:tx>
          <c:dLbls>
            <c:showLegendKey val="0"/>
            <c:showVal val="0"/>
            <c:showCatName val="0"/>
            <c:showSerName val="0"/>
            <c:showPercent val="0"/>
            <c:showBubbleSize val="0"/>
            <c:showLeaderLines val="0"/>
          </c:dLbls>
          <c:cat>
            <c:strRef>
              <c:f>'Dashboard'!$H$37:$H$47</c:f>
              <c:strCache>
                <c:ptCount val="0"/>
              </c:strCache>
            </c:strRef>
          </c:cat>
          <c:val>
            <c:numRef>
              <c:f>'Dashboard'!$I$37:$I$47</c:f>
              <c:numCache>
                <c:formatCode>0.0%;[Red](0.0%);-</c:formatCode>
                <c:ptCount val="0"/>
              </c:numCache>
            </c:numRef>
          </c:val>
          <c:smooth val="0"/>
        </c:ser>
        <c:ser>
          <c:idx val="1"/>
          <c:order val="1"/>
          <c:tx>
            <c:v>FCF Margin</c:v>
          </c:tx>
          <c:dLbls>
            <c:showLegendKey val="0"/>
            <c:showVal val="0"/>
            <c:showCatName val="0"/>
            <c:showSerName val="0"/>
            <c:showPercent val="0"/>
            <c:showBubbleSize val="0"/>
            <c:showLeaderLines val="0"/>
          </c:dLbls>
          <c:cat>
            <c:strRef>
              <c:f>'Dashboard'!$H$37:$H$47</c:f>
              <c:strCache>
                <c:ptCount val="0"/>
              </c:strCache>
            </c:strRef>
          </c:cat>
          <c:val>
            <c:numRef>
              <c:f>'Dashboard'!$J$37:$J$47</c:f>
              <c:numCache>
                <c:formatCode>0.0%;[Red](0.0%);-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Free Cash Flow ($mm)</a:t>
            </a:r>
          </a:p>
        </c:rich>
      </c:tx>
      <c:overlay val="0"/>
    </c:title>
    <c:autoTitleDeleted val="0"/>
    <c:plotArea>
      <c:layout/>
      <c:barChart>
        <c:barDir val="col"/>
        <c:varyColors val="0"/>
        <c:ser>
          <c:idx val="0"/>
          <c:order val="0"/>
          <c:tx>
            <c:v>Free Cash Flow</c:v>
          </c:tx>
          <c:dLbls>
            <c:showLegendKey val="0"/>
            <c:showVal val="0"/>
            <c:showCatName val="0"/>
            <c:showSerName val="0"/>
            <c:showPercent val="0"/>
            <c:showBubbleSize val="0"/>
            <c:showLeaderLines val="0"/>
          </c:dLbls>
          <c:cat>
            <c:strRef>
              <c:f>'Dashboard'!$L$37:$L$47</c:f>
              <c:strCache>
                <c:ptCount val="0"/>
              </c:strCache>
            </c:strRef>
          </c:cat>
          <c:val>
            <c:numRef>
              <c:f>'Dashboard'!$M$37:$M$47</c:f>
              <c:numCache>
                <c:formatCode>"$"#,##0;[Red]("$"#,##0);-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xdr:row>
      <xdr:rowOff>0</xdr:rowOff>
    </xdr:from>
    <xdr:to>
      <xdr:col>15</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6bb154073e44bbd"/>
        </a:graphicData>
      </a:graphic>
    </xdr:graphicFrame>
    <xdr:clientData/>
  </xdr:twoCellAnchor>
  <xdr:twoCellAnchor>
    <xdr:from>
      <xdr:col>7</xdr:col>
      <xdr:colOff>0</xdr:colOff>
      <xdr:row>18</xdr:row>
      <xdr:rowOff>0</xdr:rowOff>
    </xdr:from>
    <xdr:to>
      <xdr:col>15</xdr:col>
      <xdr:colOff>0</xdr:colOff>
      <xdr:row>33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6668e867f7245ed"/>
        </a:graphicData>
      </a:graphic>
    </xdr:graphicFrame>
    <xdr:clientData/>
  </xdr:twoCellAnchor>
  <xdr:twoCellAnchor>
    <xdr:from>
      <xdr:col>0</xdr:col>
      <xdr:colOff>0</xdr:colOff>
      <xdr:row>26</xdr:row>
      <xdr:rowOff>0</xdr:rowOff>
    </xdr:from>
    <xdr:to>
      <xdr:col>6</xdr:col>
      <xdr:colOff>0</xdr:colOff>
      <xdr:row>41</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6cf439848584411"/>
        </a:graphicData>
      </a:graphic>
    </xdr:graphicFrame>
    <xdr:clientData/>
  </xdr:twoCellAnchor>
</xdr:wsDr>
</file>

<file path=xl/persons/person.xml><?xml version="1.0" encoding="utf-8"?>
<xltc:personList xmlns:xltc="http://schemas.microsoft.com/office/spreadsheetml/2018/threadedcomments">
  <xltc:person displayName="User" id="{A13B6315-DA95-46A1-B7A0-6DFD6DCAF7E8}"/>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11" dT="2026-07-01T13:18:58.983" personId="{A13B6315-DA95-46A1-B7A0-6DFD6DCAF7E8}" id="{C91378B9-C6AD-48DA-84C5-D6E23FC06B48}">
    <xltc:text>Source: replace with current market price source URL on Sources sheet. The current value is illustrative.</xltc:text>
  </xltc:threadedComment>
  <xltc:threadedComment ref="B12" dT="2026-07-01T13:18:58.984" personId="{A13B6315-DA95-46A1-B7A0-6DFD6DCAF7E8}" id="{07EC4FE6-B14B-1EB3-D591-00C61FACB50B}">
    <xltc:text>Source: replace with diluted share count from the company's latest filing.</xltc:text>
  </xltc:threadedComment>
  <xltc:threadedComment ref="B13" dT="2026-07-01T13:18:58.984" personId="{A13B6315-DA95-46A1-B7A0-6DFD6DCAF7E8}" id="{6BA65BCD-F44D-EAFC-FAF8-F17259B67C54}">
    <xltc:text>Source: replace with cash and equivalents from latest balance sheet.</xltc:text>
  </xltc:threadedComment>
  <xltc:threadedComment ref="B14" dT="2026-07-01T13:18:58.984" personId="{A13B6315-DA95-46A1-B7A0-6DFD6DCAF7E8}" id="{12F840CA-5163-C527-0271-422EE0005BBD}">
    <xltc:text>Source: replace with total debt from latest balance sheet.</xltc:text>
  </xltc:threadedComment>
</xltc:ThreadedComments>
</file>

<file path=xl/worksheets/_rels/sheet2.xml.rels>&#65279;<?xml version="1.0" encoding="utf-8"?><Relationships xmlns="http://schemas.openxmlformats.org/package/2006/relationships"><Relationship Type="http://schemas.openxmlformats.org/officeDocument/2006/relationships/drawing" Target="/xl/drawings/drawing1.xml" Id="R457254f7aca64127" /></Relationships>
</file>

<file path=xl/worksheets/_rels/sheet3.xml.rels>&#65279;<?xml version="1.0" encoding="utf-8"?><Relationships xmlns="http://schemas.openxmlformats.org/package/2006/relationships"><Relationship Type="http://schemas.openxmlformats.org/officeDocument/2006/relationships/comments" Target="/xl/comments1.xml" Id="Re0af519f1e3e4e92" /><Relationship Type="http://schemas.openxmlformats.org/officeDocument/2006/relationships/vmlDrawing" Target="/xl/drawings/vmldrawing.vml" Id="R96ffd10629dd4273" /><Relationship Type="http://schemas.microsoft.com/office/2017/10/relationships/threadedComment" Target="/xl/threadedcomments/threadedcomment.xml" Id="Raf4c21bbc2a84c0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0"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0" customHeight="1">
      <x:c r="A1" s="4" t="str">
        <x:v>Company Financial Analysis Workbook</x:v>
      </x:c>
      <x:c r="B1" s="4" t="str">
        <x:v>Company Financial Analysis Workbook</x:v>
      </x:c>
      <x:c r="C1" s="4" t="str">
        <x:v>Company Financial Analysis Workbook</x:v>
      </x:c>
      <x:c r="D1" s="4" t="str">
        <x:v>Company Financial Analysis Workbook</x:v>
      </x:c>
      <x:c r="E1" s="4" t="str">
        <x:v>Company Financial Analysis Workbook</x:v>
      </x:c>
      <x:c r="F1" s="4" t="str">
        <x:v>Company Financial Analysis Workbook</x:v>
      </x:c>
      <x:c r="G1" s="4" t="str">
        <x:v>Company Financial Analysis Workbook</x:v>
      </x:c>
      <x:c r="H1" s="4" t="str">
        <x:v>Company Financial Analysis Workbook</x:v>
      </x:c>
    </x:row>
    <x:row r="3">
      <x:c r="A3" s="6" t="str">
        <x:v>Purpose</x:v>
      </x:c>
      <x:c r="B3" s="7" t="str">
        <x:v>Analyze a company's historical performance, ratios, forecast, DCF valuation, and scenario sensitivity.</x:v>
      </x:c>
      <x:c r="D3" s="14" t="str">
        <x:v>Key Outputs</x:v>
      </x:c>
      <x:c r="E3" s="14" t="str">
        <x:v>Key Outputs</x:v>
      </x:c>
      <x:c r="F3" s="14" t="str">
        <x:v>Key Outputs</x:v>
      </x:c>
      <x:c r="G3" s="14" t="str">
        <x:v>Key Outputs</x:v>
      </x:c>
      <x:c r="H3" s="14" t="str">
        <x:v>Key Outputs</x:v>
      </x:c>
    </x:row>
    <x:row r="4">
      <x:c r="A4" s="6" t="str">
        <x:v>Company</x:v>
      </x:c>
      <x:c r="B4" s="8" t="str">
        <x:f>'Assumptions'!$B$5</x:f>
        <x:v>[Company Name]</x:v>
      </x:c>
      <x:c r="D4" s="20" t="str">
        <x:v>Metric</x:v>
      </x:c>
      <x:c r="E4" s="21" t="str">
        <x:v>Value</x:v>
      </x:c>
      <x:c r="F4" s="21" t="str">
        <x:v>Unit</x:v>
      </x:c>
      <x:c r="G4" s="21" t="str">
        <x:v>Source</x:v>
      </x:c>
      <x:c r="H4" s="22" t="str">
        <x:v>Notes</x:v>
      </x:c>
    </x:row>
    <x:row r="5">
      <x:c r="A5" s="6" t="str">
        <x:v>Currency / Units</x:v>
      </x:c>
      <x:c r="B5" s="8" t="str">
        <x:f>'Assumptions'!$B$6&amp;" / "&amp;'Assumptions'!$B$7</x:f>
        <x:v>USD / $mm</x:v>
      </x:c>
      <x:c r="D5" t="str">
        <x:v>DCF Implied Share Price</x:v>
      </x:c>
      <x:c r="E5" s="27" t="n">
        <x:f>'Valuation_DCF'!$B$31</x:f>
        <x:v>43.169940020456906</x:v>
      </x:c>
      <x:c r="F5" t="str">
        <x:v>per share</x:v>
      </x:c>
      <x:c r="G5" t="str">
        <x:v>Valuation_DCF</x:v>
      </x:c>
      <x:c r="H5" t="str">
        <x:v>Formula-driven from forecast FCF and terminal value.</x:v>
      </x:c>
    </x:row>
    <x:row r="6">
      <x:c r="A6" s="6" t="str">
        <x:v>Scenario</x:v>
      </x:c>
      <x:c r="B6" s="8" t="str">
        <x:f>'Assumptions'!$B$25</x:f>
        <x:v>Base</x:v>
      </x:c>
      <x:c r="D6" t="str">
        <x:v>Current Share Price</x:v>
      </x:c>
      <x:c r="E6" s="27" t="n">
        <x:f>'Valuation_DCF'!$B$32</x:f>
        <x:v>100</x:v>
      </x:c>
      <x:c r="F6" t="str">
        <x:v>per share</x:v>
      </x:c>
      <x:c r="G6" t="str">
        <x:v>Assumptions</x:v>
      </x:c>
      <x:c r="H6" t="str">
        <x:v>Editable input.</x:v>
      </x:c>
    </x:row>
    <x:row r="7">
      <x:c r="A7" s="6" t="str">
        <x:v>Analysis Date</x:v>
      </x:c>
      <x:c r="B7" s="9" t="n">
        <x:v>46204</x:v>
      </x:c>
      <x:c r="D7" t="str">
        <x:v>Upside / Downside</x:v>
      </x:c>
      <x:c r="E7" s="28" t="n">
        <x:f>'Valuation_DCF'!$B$33</x:f>
        <x:v>-0.5683005997954309</x:v>
      </x:c>
      <x:c r="F7" t="str">
        <x:v>%</x:v>
      </x:c>
      <x:c r="G7" t="str">
        <x:v>Valuation_DCF</x:v>
      </x:c>
      <x:c r="H7" t="str">
        <x:v>Compares implied value to current share price.</x:v>
      </x:c>
    </x:row>
    <x:row r="8">
      <x:c r="A8" s="6" t="str">
        <x:v>Model Status</x:v>
      </x:c>
      <x:c r="B8" s="11" t="str">
        <x:f>'Checks'!$B$3</x:f>
        <x:v>PASS</x:v>
      </x:c>
      <x:c r="D8" t="str">
        <x:v>Enterprise Value</x:v>
      </x:c>
      <x:c r="E8" s="29" t="n">
        <x:f>'Valuation_DCF'!$B$27</x:f>
        <x:v>4566.994002045691</x:v>
      </x:c>
      <x:c r="F8" t="str">
        <x:v>$mm</x:v>
      </x:c>
      <x:c r="G8" t="str">
        <x:v>Valuation_DCF</x:v>
      </x:c>
      <x:c r="H8" t="str">
        <x:v>DCF enterprise value.</x:v>
      </x:c>
    </x:row>
    <x:row r="9">
      <x:c r="A9" s="6" t="str">
        <x:v>Version</x:v>
      </x:c>
      <x:c r="B9" s="7" t="str">
        <x:v>v1.0 template</x:v>
      </x:c>
      <x:c r="D9" t="str">
        <x:v>EV / EBITDA</x:v>
      </x:c>
      <x:c r="E9" s="30" t="n">
        <x:f>'Valuation_DCF'!$B$34</x:f>
        <x:v>7.716532717840691</x:v>
      </x:c>
      <x:c r="F9" t="str">
        <x:v>x</x:v>
      </x:c>
      <x:c r="G9" t="str">
        <x:v>Valuation_DCF</x:v>
      </x:c>
      <x:c r="H9" t="str">
        <x:v>Enterprise value divided by final forecast EBITDA.</x:v>
      </x:c>
    </x:row>
    <x:row r="10">
      <x:c r="A10" s="6" t="str">
        <x:v>Prepared For</x:v>
      </x:c>
      <x:c r="B10" s="7" t="str">
        <x:v>User</x:v>
      </x:c>
      <x:c r="D10" t="str">
        <x:v>LTM EBITDA Margin</x:v>
      </x:c>
      <x:c r="E10" s="28" t="n">
        <x:f>'Historical_Financials'!$G$13</x:f>
        <x:v>0.21</x:v>
      </x:c>
      <x:c r="F10" t="str">
        <x:v>%</x:v>
      </x:c>
      <x:c r="G10" t="str">
        <x:v>Historical_Financials</x:v>
      </x:c>
      <x:c r="H10" t="str">
        <x:v>Latest actual EBITDA margin.</x:v>
      </x:c>
    </x:row>
    <x:row r="11">
      <x:c r="D11" t="str">
        <x:v>Net Debt / EBITDA</x:v>
      </x:c>
      <x:c r="E11" s="30" t="n">
        <x:f>'Ratios'!$G$11</x:f>
        <x:v>0.6265664160401002</x:v>
      </x:c>
      <x:c r="F11" t="str">
        <x:v>x</x:v>
      </x:c>
      <x:c r="G11" t="str">
        <x:v>Ratios</x:v>
      </x:c>
      <x:c r="H11" t="str">
        <x:v>Latest actual net debt divided by latest actual EBITDA.</x:v>
      </x:c>
    </x:row>
    <x:row r="13">
      <x:c r="A13" s="14" t="str">
        <x:v>Color Convention</x:v>
      </x:c>
      <x:c r="B13" s="14" t="str">
        <x:v>Color Convention</x:v>
      </x:c>
      <x:c r="C13" s="14" t="str">
        <x:v>Color Convention</x:v>
      </x:c>
      <x:c r="D13" s="14" t="str">
        <x:v>Color Convention</x:v>
      </x:c>
      <x:c r="E13" s="14" t="str">
        <x:v>Color Convention</x:v>
      </x:c>
      <x:c r="F13" s="14" t="str">
        <x:v>Color Convention</x:v>
      </x:c>
      <x:c r="G13" s="14" t="str">
        <x:v>Color Convention</x:v>
      </x:c>
      <x:c r="H13" s="14" t="str">
        <x:v>Color Convention</x:v>
      </x:c>
    </x:row>
    <x:row r="14">
      <x:c r="A14" s="31" t="str">
        <x:v>Style</x:v>
      </x:c>
      <x:c r="B14" s="31" t="str">
        <x:v>Meaning</x:v>
      </x:c>
      <x:c r="C14" s="31"/>
      <x:c r="D14" s="31"/>
      <x:c r="E14" s="31"/>
      <x:c r="F14" s="31"/>
      <x:c r="G14" s="31"/>
      <x:c r="H14" s="31"/>
    </x:row>
    <x:row r="15">
      <x:c r="A15" s="33" t="str">
        <x:v>Blue text + yellow fill</x:v>
      </x:c>
      <x:c r="B15" t="str">
        <x:v>Editable inputs and assumptions to replace with company-specific data.</x:v>
      </x:c>
      <x:c r="C15"/>
      <x:c r="D15"/>
      <x:c r="E15"/>
      <x:c r="F15"/>
      <x:c r="G15"/>
      <x:c r="H15"/>
    </x:row>
    <x:row r="16">
      <x:c r="A16" s="34" t="str">
        <x:v>Black text</x:v>
      </x:c>
      <x:c r="B16" t="str">
        <x:v>Formulas and calculations.</x:v>
      </x:c>
      <x:c r="C16"/>
      <x:c r="D16"/>
      <x:c r="E16"/>
      <x:c r="F16"/>
      <x:c r="G16"/>
      <x:c r="H16"/>
    </x:row>
    <x:row r="17">
      <x:c r="A17" s="35" t="str">
        <x:v>Green text</x:v>
      </x:c>
      <x:c r="B17" t="str">
        <x:v>Links to other worksheets in this workbook.</x:v>
      </x:c>
      <x:c r="C17"/>
      <x:c r="D17"/>
      <x:c r="E17"/>
      <x:c r="F17"/>
      <x:c r="G17"/>
      <x:c r="H17"/>
    </x:row>
    <x:row r="18">
      <x:c r="A18" t="str">
        <x:v>Sources tab</x:v>
      </x:c>
      <x:c r="B18" t="str">
        <x:v>Use plain URLs and source notes for filings, investor materials, and market data.</x:v>
      </x:c>
      <x:c r="C18"/>
      <x:c r="D18"/>
      <x:c r="E18"/>
      <x:c r="F18"/>
      <x:c r="G18"/>
      <x:c r="H18"/>
    </x:row>
    <x:row r="20">
      <x:c r="A20" s="39" t="str">
        <x:v>Template note: no company name, ticker, or source data was provided in the request. The historical figures are illustrative placeholders. Replace blue/yellow input cells with company-reported data and add source URLs on the Sources sheet.</x:v>
      </x:c>
      <x:c r="B20" s="39"/>
      <x:c r="C20" s="39"/>
      <x:c r="D20" s="39"/>
      <x:c r="E20" s="39"/>
      <x:c r="F20" s="39"/>
      <x:c r="G20" s="39"/>
      <x:c r="H20" s="39"/>
    </x:row>
    <x:row r="21">
      <x:c r="A21" s="39"/>
      <x:c r="B21" s="39"/>
      <x:c r="C21" s="39"/>
      <x:c r="D21" s="39"/>
      <x:c r="E21" s="39"/>
      <x:c r="F21" s="39"/>
      <x:c r="G21" s="39"/>
      <x:c r="H21" s="39"/>
    </x:row>
    <x:row r="22">
      <x:c r="A22" s="39"/>
      <x:c r="B22" s="39"/>
      <x:c r="C22" s="39"/>
      <x:c r="D22" s="39"/>
      <x:c r="E22" s="39"/>
      <x:c r="F22" s="39"/>
      <x:c r="G22" s="39"/>
      <x:c r="H22" s="39"/>
    </x:row>
  </x:sheetData>
  <x:mergeCells>
    <x:mergeCell ref="A1:H1"/>
    <x:mergeCell ref="D3:H3"/>
    <x:mergeCell ref="A13:H13"/>
    <x:mergeCell ref="A20:H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16" hidden="0" customWidth="1"/>
    <x:col min="3" max="3" width="16" hidden="0" customWidth="1"/>
    <x:col min="4" max="4" width="16" hidden="0" customWidth="1"/>
    <x:col min="5" max="5" width="16" hidden="0" customWidth="1"/>
    <x:col min="6" max="6" width="16" hidden="0" customWidth="1"/>
    <x:col min="7" max="7" width="4"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s>
  <x:sheetData>
    <x:row r="1" ht="30" customHeight="1">
      <x:c r="A1" s="4" t="str">
        <x:v>Financial Dashboard</x:v>
      </x:c>
      <x:c r="B1" s="4" t="str">
        <x:v>Financial Dashboard</x:v>
      </x:c>
      <x:c r="C1" s="4" t="str">
        <x:v>Financial Dashboard</x:v>
      </x:c>
      <x:c r="D1" s="4" t="str">
        <x:v>Financial Dashboard</x:v>
      </x:c>
      <x:c r="E1" s="4" t="str">
        <x:v>Financial Dashboard</x:v>
      </x:c>
      <x:c r="F1" s="4" t="str">
        <x:v>Financial Dashboard</x:v>
      </x:c>
      <x:c r="G1" s="4" t="str">
        <x:v>Financial Dashboard</x:v>
      </x:c>
      <x:c r="H1" s="4" t="str">
        <x:v>Financial Dashboard</x:v>
      </x:c>
      <x:c r="I1" s="4" t="str">
        <x:v>Financial Dashboard</x:v>
      </x:c>
      <x:c r="J1" s="4" t="str">
        <x:v>Financial Dashboard</x:v>
      </x:c>
      <x:c r="K1" s="4" t="str">
        <x:v>Financial Dashboard</x:v>
      </x:c>
      <x:c r="L1" s="4" t="str">
        <x:v>Financial Dashboard</x:v>
      </x:c>
      <x:c r="M1" s="4" t="str">
        <x:v>Financial Dashboard</x:v>
      </x:c>
      <x:c r="N1" s="4" t="str">
        <x:v>Financial Dashboard</x:v>
      </x:c>
      <x:c r="O1" s="4" t="str">
        <x:v>Financial Dashboard</x:v>
      </x:c>
    </x:row>
    <x:row r="3">
      <x:c r="A3" s="14" t="str">
        <x:v>Headline Metrics</x:v>
      </x:c>
      <x:c r="B3" s="14" t="str">
        <x:v>Headline Metrics</x:v>
      </x:c>
      <x:c r="C3" s="14" t="str">
        <x:v>Headline Metrics</x:v>
      </x:c>
      <x:c r="D3" s="14" t="str">
        <x:v>Headline Metrics</x:v>
      </x:c>
      <x:c r="E3" s="14" t="str">
        <x:v>Headline Metrics</x:v>
      </x:c>
      <x:c r="F3" s="14" t="str">
        <x:v>Headline Metrics</x:v>
      </x:c>
    </x:row>
    <x:row r="4">
      <x:c r="A4" s="20" t="str">
        <x:v>Metric</x:v>
      </x:c>
      <x:c r="B4" s="21" t="str">
        <x:v>Value</x:v>
      </x:c>
      <x:c r="C4" s="21" t="str">
        <x:v>Unit</x:v>
      </x:c>
      <x:c r="D4" s="21" t="str">
        <x:v>Comment</x:v>
      </x:c>
      <x:c r="E4" s="21" t="str">
        <x:v>Metric</x:v>
      </x:c>
      <x:c r="F4" s="22" t="str">
        <x:v>Value</x:v>
      </x:c>
    </x:row>
    <x:row r="5">
      <x:c r="A5" t="str">
        <x:v>Company</x:v>
      </x:c>
      <x:c r="B5" s="35" t="str">
        <x:f>'Assumptions'!$B$5</x:f>
        <x:v>[Company Name]</x:v>
      </x:c>
      <x:c r="C5" t="str"/>
      <x:c r="D5" t="str">
        <x:v>Input</x:v>
      </x:c>
      <x:c r="E5" t="str">
        <x:v>Scenario</x:v>
      </x:c>
      <x:c r="F5" s="35" t="str">
        <x:f>'Assumptions'!$B$25</x:f>
        <x:v>Base</x:v>
      </x:c>
    </x:row>
    <x:row r="6">
      <x:c r="A6" t="str">
        <x:v>Model Status</x:v>
      </x:c>
      <x:c r="B6" s="35" t="str">
        <x:f>'Checks'!$B$3</x:f>
        <x:v>PASS</x:v>
      </x:c>
      <x:c r="C6" t="str"/>
      <x:c r="D6" t="str">
        <x:v>Checks</x:v>
      </x:c>
      <x:c r="E6" t="str">
        <x:v>Current Price</x:v>
      </x:c>
      <x:c r="F6" s="27" t="n">
        <x:f>'Valuation_DCF'!$B$32</x:f>
        <x:v>100</x:v>
      </x:c>
    </x:row>
    <x:row r="7">
      <x:c r="A7" t="str">
        <x:v>Implied Share Price</x:v>
      </x:c>
      <x:c r="B7" s="27" t="n">
        <x:f>'Valuation_DCF'!$B$31</x:f>
        <x:v>43.169940020456906</x:v>
      </x:c>
      <x:c r="C7" t="str">
        <x:v>$ / share</x:v>
      </x:c>
      <x:c r="D7" t="str">
        <x:v>DCF</x:v>
      </x:c>
      <x:c r="E7" t="str">
        <x:v>Upside / Downside</x:v>
      </x:c>
      <x:c r="F7" s="28" t="n">
        <x:f>'Valuation_DCF'!$B$33</x:f>
        <x:v>-0.5683005997954309</x:v>
      </x:c>
    </x:row>
    <x:row r="8">
      <x:c r="A8" t="str">
        <x:v>Enterprise Value</x:v>
      </x:c>
      <x:c r="B8" s="29" t="n">
        <x:f>'Valuation_DCF'!$B$27</x:f>
        <x:v>4566.994002045691</x:v>
      </x:c>
      <x:c r="C8" t="str">
        <x:v>$mm</x:v>
      </x:c>
      <x:c r="D8" t="str">
        <x:v>DCF</x:v>
      </x:c>
      <x:c r="E8" t="str">
        <x:v>EV / EBITDA</x:v>
      </x:c>
      <x:c r="F8" s="30" t="n">
        <x:f>'Valuation_DCF'!$B$34</x:f>
        <x:v>7.716532717840691</x:v>
      </x:c>
    </x:row>
    <x:row r="9">
      <x:c r="A9" t="str">
        <x:v>Latest EBITDA Margin</x:v>
      </x:c>
      <x:c r="B9" s="28" t="n">
        <x:f>'Historical_Financials'!$G$13</x:f>
        <x:v>0.21</x:v>
      </x:c>
      <x:c r="C9" t="str">
        <x:v>%</x:v>
      </x:c>
      <x:c r="D9" t="str">
        <x:v>Latest actual</x:v>
      </x:c>
      <x:c r="E9" t="str">
        <x:v>Net Debt / EBITDA</x:v>
      </x:c>
      <x:c r="F9" s="30" t="n">
        <x:f>'Ratios'!$G$11</x:f>
        <x:v>0.6265664160401002</x:v>
      </x:c>
    </x:row>
    <x:row r="11">
      <x:c r="A11" s="14" t="str">
        <x:v>Financial Snapshot</x:v>
      </x:c>
      <x:c r="B11" s="14" t="str">
        <x:v>Financial Snapshot</x:v>
      </x:c>
      <x:c r="C11" s="14" t="str">
        <x:v>Financial Snapshot</x:v>
      </x:c>
      <x:c r="D11" s="14" t="str">
        <x:v>Financial Snapshot</x:v>
      </x:c>
      <x:c r="E11" s="14" t="str">
        <x:v>Financial Snapshot</x:v>
      </x:c>
      <x:c r="F11" s="14" t="str">
        <x:v>Financial Snapshot</x:v>
      </x:c>
    </x:row>
    <x:row r="12">
      <x:c r="A12" s="20" t="str">
        <x:v>Year</x:v>
      </x:c>
      <x:c r="B12" s="21" t="str">
        <x:v>Revenue</x:v>
      </x:c>
      <x:c r="C12" s="21" t="str">
        <x:v>EBITDA</x:v>
      </x:c>
      <x:c r="D12" s="21" t="str">
        <x:v>EBITDA Margin</x:v>
      </x:c>
      <x:c r="E12" s="21" t="str">
        <x:v>Free Cash Flow</x:v>
      </x:c>
      <x:c r="F12" s="22" t="str">
        <x:v>FCF Margin</x:v>
      </x:c>
    </x:row>
    <x:row r="13">
      <x:c r="A13" s="35" t="str">
        <x:f>'Historical_Financials'!B4</x:f>
        <x:v>2020A</x:v>
      </x:c>
      <x:c r="B13" s="29" t="n">
        <x:f>'Historical_Financials'!B8</x:f>
        <x:v>1000</x:v>
      </x:c>
      <x:c r="C13" s="29" t="n">
        <x:f>'Historical_Financials'!B12</x:f>
        <x:v>150</x:v>
      </x:c>
      <x:c r="D13" s="28" t="n">
        <x:f>'Historical_Financials'!B13</x:f>
        <x:v>0.15</x:v>
      </x:c>
      <x:c r="E13" s="29" t="n">
        <x:f>'Historical_Financials'!B27</x:f>
        <x:v>65</x:v>
      </x:c>
      <x:c r="F13" s="28" t="n">
        <x:f>'Historical_Financials'!B28</x:f>
        <x:v>0.065</x:v>
      </x:c>
    </x:row>
    <x:row r="14">
      <x:c r="A14" s="35" t="str">
        <x:f>'Historical_Financials'!C4</x:f>
        <x:v>2021A</x:v>
      </x:c>
      <x:c r="B14" s="29" t="n">
        <x:f>'Historical_Financials'!C8</x:f>
        <x:v>1120</x:v>
      </x:c>
      <x:c r="C14" s="29" t="n">
        <x:f>'Historical_Financials'!C12</x:f>
        <x:v>180</x:v>
      </x:c>
      <x:c r="D14" s="28" t="n">
        <x:f>'Historical_Financials'!C13</x:f>
        <x:v>0.16071428571428573</x:v>
      </x:c>
      <x:c r="E14" s="29" t="n">
        <x:f>'Historical_Financials'!C27</x:f>
        <x:v>85</x:v>
      </x:c>
      <x:c r="F14" s="28" t="n">
        <x:f>'Historical_Financials'!C28</x:f>
        <x:v>0.07589285714285714</x:v>
      </x:c>
    </x:row>
    <x:row r="15">
      <x:c r="A15" s="35" t="str">
        <x:f>'Historical_Financials'!D4</x:f>
        <x:v>2022A</x:v>
      </x:c>
      <x:c r="B15" s="29" t="n">
        <x:f>'Historical_Financials'!D8</x:f>
        <x:v>1280</x:v>
      </x:c>
      <x:c r="C15" s="29" t="n">
        <x:f>'Historical_Financials'!D12</x:f>
        <x:v>224</x:v>
      </x:c>
      <x:c r="D15" s="28" t="n">
        <x:f>'Historical_Financials'!D13</x:f>
        <x:v>0.175</x:v>
      </x:c>
      <x:c r="E15" s="29" t="n">
        <x:f>'Historical_Financials'!D27</x:f>
        <x:v>107</x:v>
      </x:c>
      <x:c r="F15" s="28" t="n">
        <x:f>'Historical_Financials'!D28</x:f>
        <x:v>0.08359375</x:v>
      </x:c>
    </x:row>
    <x:row r="16">
      <x:c r="A16" s="35" t="str">
        <x:f>'Historical_Financials'!E4</x:f>
        <x:v>2023A</x:v>
      </x:c>
      <x:c r="B16" s="29" t="n">
        <x:f>'Historical_Financials'!E8</x:f>
        <x:v>1450</x:v>
      </x:c>
      <x:c r="C16" s="29" t="n">
        <x:f>'Historical_Financials'!E12</x:f>
        <x:v>268</x:v>
      </x:c>
      <x:c r="D16" s="28" t="n">
        <x:f>'Historical_Financials'!E13</x:f>
        <x:v>0.18482758620689654</x:v>
      </x:c>
      <x:c r="E16" s="29" t="n">
        <x:f>'Historical_Financials'!E27</x:f>
        <x:v>135</x:v>
      </x:c>
      <x:c r="F16" s="28" t="n">
        <x:f>'Historical_Financials'!E28</x:f>
        <x:v>0.09310344827586207</x:v>
      </x:c>
    </x:row>
    <x:row r="17">
      <x:c r="A17" s="35" t="str">
        <x:f>'Historical_Financials'!F4</x:f>
        <x:v>2024A</x:v>
      </x:c>
      <x:c r="B17" s="29" t="n">
        <x:f>'Historical_Financials'!F8</x:f>
        <x:v>1660</x:v>
      </x:c>
      <x:c r="C17" s="29" t="n">
        <x:f>'Historical_Financials'!F12</x:f>
        <x:v>332</x:v>
      </x:c>
      <x:c r="D17" s="28" t="n">
        <x:f>'Historical_Financials'!F13</x:f>
        <x:v>0.2</x:v>
      </x:c>
      <x:c r="E17" s="29" t="n">
        <x:f>'Historical_Financials'!F27</x:f>
        <x:v>167</x:v>
      </x:c>
      <x:c r="F17" s="28" t="n">
        <x:f>'Historical_Financials'!F28</x:f>
        <x:v>0.10060240963855421</x:v>
      </x:c>
    </x:row>
    <x:row r="18">
      <x:c r="A18" s="35" t="str">
        <x:f>'Historical_Financials'!G4</x:f>
        <x:v>2025A</x:v>
      </x:c>
      <x:c r="B18" s="29" t="n">
        <x:f>'Historical_Financials'!G8</x:f>
        <x:v>1900</x:v>
      </x:c>
      <x:c r="C18" s="29" t="n">
        <x:f>'Historical_Financials'!G12</x:f>
        <x:v>399</x:v>
      </x:c>
      <x:c r="D18" s="28" t="n">
        <x:f>'Historical_Financials'!G13</x:f>
        <x:v>0.21</x:v>
      </x:c>
      <x:c r="E18" s="29" t="n">
        <x:f>'Historical_Financials'!G27</x:f>
        <x:v>208</x:v>
      </x:c>
      <x:c r="F18" s="28" t="n">
        <x:f>'Historical_Financials'!G28</x:f>
        <x:v>0.10947368421052632</x:v>
      </x:c>
    </x:row>
    <x:row r="19">
      <x:c r="A19" s="35" t="str">
        <x:f>'Historical_Financials'!H4</x:f>
        <x:v>2026E</x:v>
      </x:c>
      <x:c r="B19" s="29" t="n">
        <x:f>'Historical_Financials'!H8</x:f>
        <x:v>2052</x:v>
      </x:c>
      <x:c r="C19" s="29" t="n">
        <x:f>'Historical_Financials'!H12</x:f>
        <x:v>435.024</x:v>
      </x:c>
      <x:c r="D19" s="28" t="n">
        <x:f>'Historical_Financials'!H13</x:f>
        <x:v>0.212</x:v>
      </x:c>
      <x:c r="E19" s="29" t="n">
        <x:f>'Historical_Financials'!H27</x:f>
        <x:v>232.02799999999996</x:v>
      </x:c>
      <x:c r="F19" s="28" t="n">
        <x:f>'Historical_Financials'!H28</x:f>
        <x:v>0.11307407407407406</x:v>
      </x:c>
    </x:row>
    <x:row r="20">
      <x:c r="A20" s="35" t="str">
        <x:f>'Historical_Financials'!I4</x:f>
        <x:v>2027E</x:v>
      </x:c>
      <x:c r="B20" s="29" t="n">
        <x:f>'Historical_Financials'!I8</x:f>
        <x:v>2216.1600000000003</x:v>
      </x:c>
      <x:c r="C20" s="29" t="n">
        <x:f>'Historical_Financials'!I12</x:f>
        <x:v>469.82592000000005</x:v>
      </x:c>
      <x:c r="D20" s="28" t="n">
        <x:f>'Historical_Financials'!I13</x:f>
        <x:v>0.212</x:v>
      </x:c>
      <x:c r="E20" s="29" t="n">
        <x:f>'Historical_Financials'!I27</x:f>
        <x:v>250.59023999999997</x:v>
      </x:c>
      <x:c r="F20" s="28" t="n">
        <x:f>'Historical_Financials'!I28</x:f>
        <x:v>0.11307407407407405</x:v>
      </x:c>
    </x:row>
    <x:row r="21">
      <x:c r="A21" s="35" t="str">
        <x:f>'Historical_Financials'!J4</x:f>
        <x:v>2028E</x:v>
      </x:c>
      <x:c r="B21" s="29" t="n">
        <x:f>'Historical_Financials'!J8</x:f>
        <x:v>2393.4528000000005</x:v>
      </x:c>
      <x:c r="C21" s="29" t="n">
        <x:f>'Historical_Financials'!J12</x:f>
        <x:v>507.4119936000001</x:v>
      </x:c>
      <x:c r="D21" s="28" t="n">
        <x:f>'Historical_Financials'!J13</x:f>
        <x:v>0.212</x:v>
      </x:c>
      <x:c r="E21" s="29" t="n">
        <x:f>'Historical_Financials'!J27</x:f>
        <x:v>270.63745919999997</x:v>
      </x:c>
      <x:c r="F21" s="28" t="n">
        <x:f>'Historical_Financials'!J28</x:f>
        <x:v>0.11307407407407404</x:v>
      </x:c>
    </x:row>
    <x:row r="22">
      <x:c r="A22" s="35" t="str">
        <x:f>'Historical_Financials'!K4</x:f>
        <x:v>2029E</x:v>
      </x:c>
      <x:c r="B22" s="29" t="n">
        <x:f>'Historical_Financials'!K8</x:f>
        <x:v>2584.9290240000005</x:v>
      </x:c>
      <x:c r="C22" s="29" t="n">
        <x:f>'Historical_Financials'!K12</x:f>
        <x:v>548.0049530880001</x:v>
      </x:c>
      <x:c r="D22" s="28" t="n">
        <x:f>'Historical_Financials'!K13</x:f>
        <x:v>0.212</x:v>
      </x:c>
      <x:c r="E22" s="29" t="n">
        <x:f>'Historical_Financials'!K27</x:f>
        <x:v>292.28845593600005</x:v>
      </x:c>
      <x:c r="F22" s="28" t="n">
        <x:f>'Historical_Financials'!K28</x:f>
        <x:v>0.11307407407407408</x:v>
      </x:c>
    </x:row>
    <x:row r="23">
      <x:c r="A23" s="35" t="str">
        <x:f>'Historical_Financials'!L4</x:f>
        <x:v>2030E</x:v>
      </x:c>
      <x:c r="B23" s="29" t="n">
        <x:f>'Historical_Financials'!L8</x:f>
        <x:v>2791.7233459200006</x:v>
      </x:c>
      <x:c r="C23" s="29" t="n">
        <x:f>'Historical_Financials'!L12</x:f>
        <x:v>591.8453493350402</x:v>
      </x:c>
      <x:c r="D23" s="28" t="n">
        <x:f>'Historical_Financials'!L13</x:f>
        <x:v>0.21200000000000002</x:v>
      </x:c>
      <x:c r="E23" s="29" t="n">
        <x:f>'Historical_Financials'!L27</x:f>
        <x:v>315.67153241088005</x:v>
      </x:c>
      <x:c r="F23" s="28" t="n">
        <x:f>'Historical_Financials'!L28</x:f>
        <x:v>0.11307407407407406</x:v>
      </x:c>
    </x:row>
    <x:row r="35">
      <x:c r="H35" s="14" t="str">
        <x:v>Chart Data</x:v>
      </x:c>
      <x:c r="I35" s="14" t="str">
        <x:v>Chart Data</x:v>
      </x:c>
      <x:c r="J35" s="14" t="str">
        <x:v>Chart Data</x:v>
      </x:c>
      <x:c r="K35" s="14" t="str">
        <x:v>Chart Data</x:v>
      </x:c>
      <x:c r="L35" s="14" t="str">
        <x:v>Chart Data</x:v>
      </x:c>
      <x:c r="M35" s="14" t="str">
        <x:v>Chart Data</x:v>
      </x:c>
    </x:row>
    <x:row r="36">
      <x:c r="H36" s="20" t="str">
        <x:v>Year</x:v>
      </x:c>
      <x:c r="I36" s="21" t="str">
        <x:v>EBITDA Margin</x:v>
      </x:c>
      <x:c r="J36" s="22" t="str">
        <x:v>FCF Margin</x:v>
      </x:c>
      <x:c r="L36" s="20" t="str">
        <x:v>Year</x:v>
      </x:c>
      <x:c r="M36" s="22" t="str">
        <x:v>Free Cash Flow</x:v>
      </x:c>
    </x:row>
    <x:row r="37">
      <x:c r="H37" t="str">
        <x:f>A13</x:f>
        <x:v>2020A</x:v>
      </x:c>
      <x:c r="I37" s="24" t="n">
        <x:f>D13</x:f>
        <x:v>0.15</x:v>
      </x:c>
      <x:c r="J37" s="24" t="n">
        <x:f>F13</x:f>
        <x:v>0.065</x:v>
      </x:c>
      <x:c r="L37" t="str">
        <x:f>A13</x:f>
        <x:v>2020A</x:v>
      </x:c>
      <x:c r="M37" s="25" t="n">
        <x:f>E13</x:f>
        <x:v>65</x:v>
      </x:c>
    </x:row>
    <x:row r="38">
      <x:c r="H38" t="str">
        <x:f>A14</x:f>
        <x:v>2021A</x:v>
      </x:c>
      <x:c r="I38" s="24" t="n">
        <x:f>D14</x:f>
        <x:v>0.16071428571428573</x:v>
      </x:c>
      <x:c r="J38" s="24" t="n">
        <x:f>F14</x:f>
        <x:v>0.07589285714285714</x:v>
      </x:c>
      <x:c r="L38" t="str">
        <x:f>A14</x:f>
        <x:v>2021A</x:v>
      </x:c>
      <x:c r="M38" s="25" t="n">
        <x:f>E14</x:f>
        <x:v>85</x:v>
      </x:c>
    </x:row>
    <x:row r="39">
      <x:c r="H39" t="str">
        <x:f>A15</x:f>
        <x:v>2022A</x:v>
      </x:c>
      <x:c r="I39" s="24" t="n">
        <x:f>D15</x:f>
        <x:v>0.175</x:v>
      </x:c>
      <x:c r="J39" s="24" t="n">
        <x:f>F15</x:f>
        <x:v>0.08359375</x:v>
      </x:c>
      <x:c r="L39" t="str">
        <x:f>A15</x:f>
        <x:v>2022A</x:v>
      </x:c>
      <x:c r="M39" s="25" t="n">
        <x:f>E15</x:f>
        <x:v>107</x:v>
      </x:c>
    </x:row>
    <x:row r="40">
      <x:c r="H40" t="str">
        <x:f>A16</x:f>
        <x:v>2023A</x:v>
      </x:c>
      <x:c r="I40" s="24" t="n">
        <x:f>D16</x:f>
        <x:v>0.18482758620689654</x:v>
      </x:c>
      <x:c r="J40" s="24" t="n">
        <x:f>F16</x:f>
        <x:v>0.09310344827586207</x:v>
      </x:c>
      <x:c r="L40" t="str">
        <x:f>A16</x:f>
        <x:v>2023A</x:v>
      </x:c>
      <x:c r="M40" s="25" t="n">
        <x:f>E16</x:f>
        <x:v>135</x:v>
      </x:c>
    </x:row>
    <x:row r="41">
      <x:c r="H41" t="str">
        <x:f>A17</x:f>
        <x:v>2024A</x:v>
      </x:c>
      <x:c r="I41" s="24" t="n">
        <x:f>D17</x:f>
        <x:v>0.2</x:v>
      </x:c>
      <x:c r="J41" s="24" t="n">
        <x:f>F17</x:f>
        <x:v>0.10060240963855421</x:v>
      </x:c>
      <x:c r="L41" t="str">
        <x:f>A17</x:f>
        <x:v>2024A</x:v>
      </x:c>
      <x:c r="M41" s="25" t="n">
        <x:f>E17</x:f>
        <x:v>167</x:v>
      </x:c>
    </x:row>
    <x:row r="42">
      <x:c r="H42" t="str">
        <x:f>A18</x:f>
        <x:v>2025A</x:v>
      </x:c>
      <x:c r="I42" s="24" t="n">
        <x:f>D18</x:f>
        <x:v>0.21</x:v>
      </x:c>
      <x:c r="J42" s="24" t="n">
        <x:f>F18</x:f>
        <x:v>0.10947368421052632</x:v>
      </x:c>
      <x:c r="L42" t="str">
        <x:f>A18</x:f>
        <x:v>2025A</x:v>
      </x:c>
      <x:c r="M42" s="25" t="n">
        <x:f>E18</x:f>
        <x:v>208</x:v>
      </x:c>
    </x:row>
    <x:row r="43">
      <x:c r="H43" t="str">
        <x:f>A19</x:f>
        <x:v>2026E</x:v>
      </x:c>
      <x:c r="I43" s="24" t="n">
        <x:f>D19</x:f>
        <x:v>0.212</x:v>
      </x:c>
      <x:c r="J43" s="24" t="n">
        <x:f>F19</x:f>
        <x:v>0.11307407407407406</x:v>
      </x:c>
      <x:c r="L43" t="str">
        <x:f>A19</x:f>
        <x:v>2026E</x:v>
      </x:c>
      <x:c r="M43" s="25" t="n">
        <x:f>E19</x:f>
        <x:v>232.02799999999996</x:v>
      </x:c>
    </x:row>
    <x:row r="44">
      <x:c r="H44" t="str">
        <x:f>A20</x:f>
        <x:v>2027E</x:v>
      </x:c>
      <x:c r="I44" s="24" t="n">
        <x:f>D20</x:f>
        <x:v>0.212</x:v>
      </x:c>
      <x:c r="J44" s="24" t="n">
        <x:f>F20</x:f>
        <x:v>0.11307407407407405</x:v>
      </x:c>
      <x:c r="L44" t="str">
        <x:f>A20</x:f>
        <x:v>2027E</x:v>
      </x:c>
      <x:c r="M44" s="25" t="n">
        <x:f>E20</x:f>
        <x:v>250.59023999999997</x:v>
      </x:c>
    </x:row>
    <x:row r="45">
      <x:c r="H45" t="str">
        <x:f>A21</x:f>
        <x:v>2028E</x:v>
      </x:c>
      <x:c r="I45" s="24" t="n">
        <x:f>D21</x:f>
        <x:v>0.212</x:v>
      </x:c>
      <x:c r="J45" s="24" t="n">
        <x:f>F21</x:f>
        <x:v>0.11307407407407404</x:v>
      </x:c>
      <x:c r="L45" t="str">
        <x:f>A21</x:f>
        <x:v>2028E</x:v>
      </x:c>
      <x:c r="M45" s="25" t="n">
        <x:f>E21</x:f>
        <x:v>270.63745919999997</x:v>
      </x:c>
    </x:row>
    <x:row r="46">
      <x:c r="H46" t="str">
        <x:f>A22</x:f>
        <x:v>2029E</x:v>
      </x:c>
      <x:c r="I46" s="24" t="n">
        <x:f>D22</x:f>
        <x:v>0.212</x:v>
      </x:c>
      <x:c r="J46" s="24" t="n">
        <x:f>F22</x:f>
        <x:v>0.11307407407407408</x:v>
      </x:c>
      <x:c r="L46" t="str">
        <x:f>A22</x:f>
        <x:v>2029E</x:v>
      </x:c>
      <x:c r="M46" s="25" t="n">
        <x:f>E22</x:f>
        <x:v>292.28845593600005</x:v>
      </x:c>
    </x:row>
    <x:row r="47">
      <x:c r="H47" t="str">
        <x:f>A23</x:f>
        <x:v>2030E</x:v>
      </x:c>
      <x:c r="I47" s="24" t="n">
        <x:f>D23</x:f>
        <x:v>0.21200000000000002</x:v>
      </x:c>
      <x:c r="J47" s="24" t="n">
        <x:f>F23</x:f>
        <x:v>0.11307407407407406</x:v>
      </x:c>
      <x:c r="L47" t="str">
        <x:f>A23</x:f>
        <x:v>2030E</x:v>
      </x:c>
      <x:c r="M47" s="25" t="n">
        <x:f>E23</x:f>
        <x:v>315.67153241088005</x:v>
      </x:c>
    </x:row>
  </x:sheetData>
  <x:mergeCells>
    <x:mergeCell ref="A1:O1"/>
    <x:mergeCell ref="A3:F3"/>
    <x:mergeCell ref="A11:F11"/>
    <x:mergeCell ref="H35:M35"/>
  </x:mergeCells>
  <x:pageMargins left="0.7" right="0.7" top="0.75" bottom="0.75" header="0.3" footer="0.3"/>
  <x:drawing xmlns:r="http://schemas.openxmlformats.org/officeDocument/2006/relationships" r:id="R457254f7aca64127"/>
</x:worksheet>
</file>

<file path=xl/worksheets/sheet3.xml><?xml version="1.0" encoding="utf-8"?>
<x:worksheet xmlns:x="http://schemas.openxmlformats.org/spreadsheetml/2006/main">
  <x:sheetViews>
    <x:sheetView showGridLines="0" workbookViewId="0"/>
  </x:sheetViews>
  <x:sheetFormatPr defaultRowHeight="15"/>
  <x:cols>
    <x:col min="1" max="1" width="36" hidden="0" customWidth="1"/>
    <x:col min="2" max="2" width="18" hidden="0" customWidth="1"/>
    <x:col min="3" max="3" width="28" hidden="0" customWidth="1"/>
    <x:col min="4" max="4" width="3" hidden="0" customWidth="1"/>
    <x:col min="5" max="5" width="22" hidden="0" customWidth="1"/>
    <x:col min="6" max="6" width="16" hidden="0" customWidth="1"/>
    <x:col min="7" max="7" width="16" hidden="0" customWidth="1"/>
    <x:col min="8" max="8" width="16" hidden="0" customWidth="1"/>
  </x:cols>
  <x:sheetData>
    <x:row r="1" ht="30" customHeight="1">
      <x:c r="A1" s="4" t="str">
        <x:v>Assumptions</x:v>
      </x:c>
      <x:c r="B1" s="4" t="str">
        <x:v>Assumptions</x:v>
      </x:c>
      <x:c r="C1" s="4" t="str">
        <x:v>Assumptions</x:v>
      </x:c>
      <x:c r="D1" s="4" t="str">
        <x:v>Assumptions</x:v>
      </x:c>
      <x:c r="E1" s="4" t="str">
        <x:v>Assumptions</x:v>
      </x:c>
      <x:c r="F1" s="4" t="str">
        <x:v>Assumptions</x:v>
      </x:c>
      <x:c r="G1" s="4" t="str">
        <x:v>Assumptions</x:v>
      </x:c>
      <x:c r="H1" s="4" t="str">
        <x:v>Assumptions</x:v>
      </x:c>
    </x:row>
    <x:row r="3">
      <x:c r="A3" s="14" t="str">
        <x:v>Model Setup</x:v>
      </x:c>
      <x:c r="B3" s="14" t="str">
        <x:v>Model Setup</x:v>
      </x:c>
      <x:c r="C3" s="14" t="str">
        <x:v>Model Setup</x:v>
      </x:c>
      <x:c r="E3" s="14" t="str">
        <x:v>Scenario Drivers</x:v>
      </x:c>
      <x:c r="F3" s="14" t="str">
        <x:v>Scenario Drivers</x:v>
      </x:c>
      <x:c r="G3" s="14" t="str">
        <x:v>Scenario Drivers</x:v>
      </x:c>
      <x:c r="H3" s="14" t="str">
        <x:v>Scenario Drivers</x:v>
      </x:c>
    </x:row>
    <x:row r="4">
      <x:c r="A4" s="20" t="str">
        <x:v>Input</x:v>
      </x:c>
      <x:c r="B4" s="21" t="str">
        <x:v>Value</x:v>
      </x:c>
      <x:c r="C4" s="22" t="str">
        <x:v>Units / Notes</x:v>
      </x:c>
      <x:c r="E4" s="20" t="str">
        <x:v>Driver</x:v>
      </x:c>
      <x:c r="F4" s="21" t="str">
        <x:v>Downside</x:v>
      </x:c>
      <x:c r="G4" s="21" t="str">
        <x:v>Base</x:v>
      </x:c>
      <x:c r="H4" s="22" t="str">
        <x:v>Upside</x:v>
      </x:c>
    </x:row>
    <x:row r="5">
      <x:c r="A5" t="str">
        <x:v>Company Name</x:v>
      </x:c>
      <x:c r="B5" s="40" t="str">
        <x:v>[Company Name]</x:v>
      </x:c>
      <x:c r="C5" t="str">
        <x:v>Replace with target company</x:v>
      </x:c>
      <x:c r="E5" t="str">
        <x:v>Tax Rate</x:v>
      </x:c>
      <x:c r="F5" s="58" t="n">
        <x:v>0.26</x:v>
      </x:c>
      <x:c r="G5" s="59" t="n">
        <x:v>0.25</x:v>
      </x:c>
      <x:c r="H5" s="60" t="n">
        <x:v>0.24</x:v>
      </x:c>
    </x:row>
    <x:row r="6">
      <x:c r="A6" t="str">
        <x:v>Currency</x:v>
      </x:c>
      <x:c r="B6" s="41" t="str">
        <x:v>USD</x:v>
      </x:c>
      <x:c r="C6" t="str">
        <x:v>ISO currency</x:v>
      </x:c>
      <x:c r="E6" t="str">
        <x:v>WACC</x:v>
      </x:c>
      <x:c r="F6" s="61" t="n">
        <x:v>0.11</x:v>
      </x:c>
      <x:c r="G6" s="62" t="n">
        <x:v>0.09</x:v>
      </x:c>
      <x:c r="H6" s="63" t="n">
        <x:v>0.08</x:v>
      </x:c>
    </x:row>
    <x:row r="7">
      <x:c r="A7" t="str">
        <x:v>Units</x:v>
      </x:c>
      <x:c r="B7" s="41" t="str">
        <x:v>$mm</x:v>
      </x:c>
      <x:c r="C7" t="str">
        <x:v>Amounts in millions</x:v>
      </x:c>
      <x:c r="E7" t="str">
        <x:v>Terminal Growth</x:v>
      </x:c>
      <x:c r="F7" s="61" t="n">
        <x:v>0.02</x:v>
      </x:c>
      <x:c r="G7" s="62" t="n">
        <x:v>0.03</x:v>
      </x:c>
      <x:c r="H7" s="63" t="n">
        <x:v>0.04</x:v>
      </x:c>
    </x:row>
    <x:row r="8">
      <x:c r="A8" t="str">
        <x:v>Fiscal Year End</x:v>
      </x:c>
      <x:c r="B8" s="41" t="str">
        <x:v>Dec</x:v>
      </x:c>
      <x:c r="C8" t="str">
        <x:v>Month</x:v>
      </x:c>
      <x:c r="E8" t="str">
        <x:v>Exit EBITDA Multiple</x:v>
      </x:c>
      <x:c r="F8" s="64" t="n">
        <x:v>9</x:v>
      </x:c>
      <x:c r="G8" s="65" t="n">
        <x:v>12</x:v>
      </x:c>
      <x:c r="H8" s="66" t="n">
        <x:v>15</x:v>
      </x:c>
    </x:row>
    <x:row r="9">
      <x:c r="A9" t="str">
        <x:v>Valuation Date</x:v>
      </x:c>
      <x:c r="B9" s="43" t="n">
        <x:v>46204</x:v>
      </x:c>
      <x:c r="C9" t="str">
        <x:v>yyyy-mm-dd</x:v>
      </x:c>
      <x:c r="E9" t="str">
        <x:v>Forecast Revenue CAGR</x:v>
      </x:c>
      <x:c r="F9" s="61" t="n">
        <x:v>0.03</x:v>
      </x:c>
      <x:c r="G9" s="62" t="n">
        <x:v>0.08</x:v>
      </x:c>
      <x:c r="H9" s="63" t="n">
        <x:v>0.12</x:v>
      </x:c>
    </x:row>
    <x:row r="10">
      <x:c r="A10" t="str">
        <x:v>Source Data As Of</x:v>
      </x:c>
      <x:c r="B10" s="43" t="n">
        <x:v>46204</x:v>
      </x:c>
      <x:c r="C10" t="str">
        <x:v>Update after importing filings</x:v>
      </x:c>
      <x:c r="E10" t="str">
        <x:v>Target EBITDA Margin</x:v>
      </x:c>
      <x:c r="F10" s="67" t="n">
        <x:v>0.17</x:v>
      </x:c>
      <x:c r="G10" s="68" t="n">
        <x:v>0.22</x:v>
      </x:c>
      <x:c r="H10" s="69" t="n">
        <x:v>0.27</x:v>
      </x:c>
    </x:row>
    <x:row r="11">
      <x:c r="A11" t="str">
        <x:v>Current Share Price</x:v>
      </x:c>
      <x:c r="B11" s="44" t="n">
        <x:v>100</x:v>
      </x:c>
      <x:c r="C11" t="str">
        <x:v>$ / share</x:v>
      </x:c>
      <x:c r="E11" t="str">
        <x:v>Source / Notes</x:v>
      </x:c>
      <x:c r="F11" t="str">
        <x:v>Stress case</x:v>
      </x:c>
      <x:c r="G11" t="str">
        <x:v>Management case</x:v>
      </x:c>
      <x:c r="H11" t="str">
        <x:v>Upside case</x:v>
      </x:c>
    </x:row>
    <x:row r="12">
      <x:c r="A12" t="str">
        <x:v>Diluted Shares</x:v>
      </x:c>
      <x:c r="B12" s="45" t="n">
        <x:v>100</x:v>
      </x:c>
      <x:c r="C12" t="str">
        <x:v>mm shares</x:v>
      </x:c>
    </x:row>
    <x:row r="13">
      <x:c r="A13" t="str">
        <x:v>Cash &amp; Equivalents</x:v>
      </x:c>
      <x:c r="B13" s="46" t="n">
        <x:v>250</x:v>
      </x:c>
      <x:c r="C13" t="str">
        <x:v>$mm</x:v>
      </x:c>
      <x:c r="E13" s="39" t="str">
        <x:v>Scenario table values are editable. Selected assumptions in B15:B20 use INDEX/MATCH so the dashboard, forecast, valuation, and sensitivity analysis update when the scenario selector changes.</x:v>
      </x:c>
      <x:c r="F13" s="39"/>
      <x:c r="G13" s="39"/>
      <x:c r="H13" s="39"/>
    </x:row>
    <x:row r="14">
      <x:c r="A14" t="str">
        <x:v>Total Debt</x:v>
      </x:c>
      <x:c r="B14" s="47" t="n">
        <x:v>500</x:v>
      </x:c>
      <x:c r="C14" t="str">
        <x:v>$mm</x:v>
      </x:c>
      <x:c r="E14" s="39"/>
      <x:c r="F14" s="39"/>
      <x:c r="G14" s="39"/>
      <x:c r="H14" s="39"/>
    </x:row>
    <x:row r="15">
      <x:c r="A15" t="str">
        <x:v>Tax Rate</x:v>
      </x:c>
      <x:c r="B15" s="70" t="n">
        <x:f>INDEX($F$5:$H$5,1,MATCH($B$25,$F$4:$H$4,0))</x:f>
        <x:v>0.25</x:v>
      </x:c>
      <x:c r="C15" t="str">
        <x:v>%</x:v>
      </x:c>
      <x:c r="E15" s="39"/>
      <x:c r="F15" s="39"/>
      <x:c r="G15" s="39"/>
      <x:c r="H15" s="39"/>
    </x:row>
    <x:row r="16">
      <x:c r="A16" t="str">
        <x:v>WACC</x:v>
      </x:c>
      <x:c r="B16" s="70" t="n">
        <x:f>INDEX($F$6:$H$6,1,MATCH($B$25,$F$4:$H$4,0))</x:f>
        <x:v>0.09</x:v>
      </x:c>
      <x:c r="C16" t="str">
        <x:v>%</x:v>
      </x:c>
      <x:c r="E16" s="39"/>
      <x:c r="F16" s="39"/>
      <x:c r="G16" s="39"/>
      <x:c r="H16" s="39"/>
    </x:row>
    <x:row r="17">
      <x:c r="A17" t="str">
        <x:v>Terminal Growth</x:v>
      </x:c>
      <x:c r="B17" s="70" t="n">
        <x:f>INDEX($F$7:$H$7,1,MATCH($B$25,$F$4:$H$4,0))</x:f>
        <x:v>0.03</x:v>
      </x:c>
      <x:c r="C17" t="str">
        <x:v>%</x:v>
      </x:c>
      <x:c r="E17" s="39"/>
      <x:c r="F17" s="39"/>
      <x:c r="G17" s="39"/>
      <x:c r="H17" s="39"/>
    </x:row>
    <x:row r="18">
      <x:c r="A18" t="str">
        <x:v>Exit EBITDA Multiple</x:v>
      </x:c>
      <x:c r="B18" s="71" t="n">
        <x:f>INDEX($F$8:$H$8,1,MATCH($B$25,$F$4:$H$4,0))</x:f>
        <x:v>12</x:v>
      </x:c>
      <x:c r="C18" t="str">
        <x:v>x</x:v>
      </x:c>
    </x:row>
    <x:row r="19">
      <x:c r="A19" t="str">
        <x:v>Forecast Revenue CAGR</x:v>
      </x:c>
      <x:c r="B19" s="70" t="n">
        <x:f>INDEX($F$9:$H$9,1,MATCH($B$25,$F$4:$H$4,0))</x:f>
        <x:v>0.08</x:v>
      </x:c>
      <x:c r="C19" t="str">
        <x:v>%</x:v>
      </x:c>
    </x:row>
    <x:row r="20">
      <x:c r="A20" t="str">
        <x:v>Target EBITDA Margin</x:v>
      </x:c>
      <x:c r="B20" s="70" t="n">
        <x:f>INDEX($F$10:$H$10,1,MATCH($B$25,$F$4:$H$4,0))</x:f>
        <x:v>0.22</x:v>
      </x:c>
      <x:c r="C20" t="str">
        <x:v>%</x:v>
      </x:c>
    </x:row>
    <x:row r="21">
      <x:c r="A21" t="str">
        <x:v>D&amp;A as % Revenue</x:v>
      </x:c>
      <x:c r="B21" s="48" t="n">
        <x:v>0.04</x:v>
      </x:c>
      <x:c r="C21" t="str">
        <x:v>% of revenue</x:v>
      </x:c>
    </x:row>
    <x:row r="22">
      <x:c r="A22" t="str">
        <x:v>Capex as % Revenue</x:v>
      </x:c>
      <x:c r="B22" s="49" t="n">
        <x:v>0.05</x:v>
      </x:c>
      <x:c r="C22" t="str">
        <x:v>% of revenue</x:v>
      </x:c>
    </x:row>
    <x:row r="23">
      <x:c r="A23" t="str">
        <x:v>NWC Investment as % Revenue Change</x:v>
      </x:c>
      <x:c r="B23" s="49" t="n">
        <x:v>0.08</x:v>
      </x:c>
      <x:c r="C23" t="str">
        <x:v>% of revenue delta</x:v>
      </x:c>
    </x:row>
    <x:row r="24">
      <x:c r="A24" t="str">
        <x:v>Terminal Method</x:v>
      </x:c>
      <x:c r="B24" s="41" t="str">
        <x:v>Gordon Growth</x:v>
      </x:c>
      <x:c r="C24" t="str">
        <x:v>Gordon Growth / Exit Multiple</x:v>
      </x:c>
    </x:row>
    <x:row r="25">
      <x:c r="A25" t="str">
        <x:v>Selected Scenario</x:v>
      </x:c>
      <x:c r="B25" s="42" t="str">
        <x:v>Base</x:v>
      </x:c>
      <x:c r="C25" t="str">
        <x:v>Downside / Base / Upside</x:v>
      </x:c>
    </x:row>
  </x:sheetData>
  <x:mergeCells>
    <x:mergeCell ref="A1:H1"/>
    <x:mergeCell ref="A3:C3"/>
    <x:mergeCell ref="E3:H3"/>
    <x:mergeCell ref="E13:H17"/>
  </x:mergeCells>
  <x:dataValidations count="2">
    <x:dataValidation type="list" sqref="B25">
      <x:formula1>"Downside,Base,Upside"</x:formula1>
    </x:dataValidation>
    <x:dataValidation type="list" sqref="B24">
      <x:formula1>"Gordon Growth,Exit Multiple"</x:formula1>
    </x:dataValidation>
  </x:dataValidations>
  <x:pageMargins left="0.7" right="0.7" top="0.75" bottom="0.75" header="0.3" footer="0.3"/>
  <x:legacyDrawing xmlns:r="http://schemas.openxmlformats.org/officeDocument/2006/relationships" r:id="R96ffd10629dd427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30" customHeight="1">
      <x:c r="A1" s="4" t="str">
        <x:v>Historical Financials and Forecast</x:v>
      </x:c>
      <x:c r="B1" s="4" t="str">
        <x:v>Historical Financials and Forecast</x:v>
      </x:c>
      <x:c r="C1" s="4" t="str">
        <x:v>Historical Financials and Forecast</x:v>
      </x:c>
      <x:c r="D1" s="4" t="str">
        <x:v>Historical Financials and Forecast</x:v>
      </x:c>
      <x:c r="E1" s="4" t="str">
        <x:v>Historical Financials and Forecast</x:v>
      </x:c>
      <x:c r="F1" s="4" t="str">
        <x:v>Historical Financials and Forecast</x:v>
      </x:c>
      <x:c r="G1" s="4" t="str">
        <x:v>Historical Financials and Forecast</x:v>
      </x:c>
      <x:c r="H1" s="4" t="str">
        <x:v>Historical Financials and Forecast</x:v>
      </x:c>
      <x:c r="I1" s="4" t="str">
        <x:v>Historical Financials and Forecast</x:v>
      </x:c>
      <x:c r="J1" s="4" t="str">
        <x:v>Historical Financials and Forecast</x:v>
      </x:c>
      <x:c r="K1" s="4" t="str">
        <x:v>Historical Financials and Forecast</x:v>
      </x:c>
      <x:c r="L1" s="4" t="str">
        <x:v>Historical Financials and Forecast</x:v>
      </x:c>
    </x:row>
    <x:row r="3">
      <x:c r="A3" s="14" t="str">
        <x:v>Time Series</x:v>
      </x:c>
      <x:c r="B3" s="14" t="str">
        <x:v>Time Series</x:v>
      </x:c>
      <x:c r="C3" s="14" t="str">
        <x:v>Time Series</x:v>
      </x:c>
      <x:c r="D3" s="14" t="str">
        <x:v>Time Series</x:v>
      </x:c>
      <x:c r="E3" s="14" t="str">
        <x:v>Time Series</x:v>
      </x:c>
      <x:c r="F3" s="14" t="str">
        <x:v>Time Series</x:v>
      </x:c>
      <x:c r="G3" s="14" t="str">
        <x:v>Time Series</x:v>
      </x:c>
      <x:c r="H3" s="14" t="str">
        <x:v>Time Series</x:v>
      </x:c>
      <x:c r="I3" s="14" t="str">
        <x:v>Time Series</x:v>
      </x:c>
      <x:c r="J3" s="14" t="str">
        <x:v>Time Series</x:v>
      </x:c>
      <x:c r="K3" s="14" t="str">
        <x:v>Time Series</x:v>
      </x:c>
      <x:c r="L3" s="14" t="str">
        <x:v>Time Series</x:v>
      </x:c>
    </x:row>
    <x:row r="4">
      <x:c r="A4" s="81" t="str">
        <x:v>Metric</x:v>
      </x:c>
      <x:c r="B4" s="82" t="str">
        <x:v>2020A</x:v>
      </x:c>
      <x:c r="C4" s="82" t="str">
        <x:v>2021A</x:v>
      </x:c>
      <x:c r="D4" s="82" t="str">
        <x:v>2022A</x:v>
      </x:c>
      <x:c r="E4" s="82" t="str">
        <x:v>2023A</x:v>
      </x:c>
      <x:c r="F4" s="82" t="str">
        <x:v>2024A</x:v>
      </x:c>
      <x:c r="G4" s="82" t="str">
        <x:v>2025A</x:v>
      </x:c>
      <x:c r="H4" s="103" t="str">
        <x:v>2026E</x:v>
      </x:c>
      <x:c r="I4" s="103" t="str">
        <x:v>2027E</x:v>
      </x:c>
      <x:c r="J4" s="103" t="str">
        <x:v>2028E</x:v>
      </x:c>
      <x:c r="K4" s="103" t="str">
        <x:v>2029E</x:v>
      </x:c>
      <x:c r="L4" s="104" t="str">
        <x:v>2030E</x:v>
      </x:c>
    </x:row>
    <x:row r="5">
      <x:c r="A5" s="84" t="str">
        <x:v>Period Type</x:v>
      </x:c>
      <x:c r="B5" s="85" t="str">
        <x:v>Actual</x:v>
      </x:c>
      <x:c r="C5" s="85" t="str">
        <x:v>Actual</x:v>
      </x:c>
      <x:c r="D5" s="85" t="str">
        <x:v>Actual</x:v>
      </x:c>
      <x:c r="E5" s="85" t="str">
        <x:v>Actual</x:v>
      </x:c>
      <x:c r="F5" s="85" t="str">
        <x:v>Actual</x:v>
      </x:c>
      <x:c r="G5" s="85" t="str">
        <x:v>Actual</x:v>
      </x:c>
      <x:c r="H5" s="85" t="str">
        <x:v>Forecast</x:v>
      </x:c>
      <x:c r="I5" s="85" t="str">
        <x:v>Forecast</x:v>
      </x:c>
      <x:c r="J5" s="85" t="str">
        <x:v>Forecast</x:v>
      </x:c>
      <x:c r="K5" s="85" t="str">
        <x:v>Forecast</x:v>
      </x:c>
      <x:c r="L5" s="86" t="str">
        <x:v>Forecast</x:v>
      </x:c>
    </x:row>
    <x:row r="6">
      <x:c r="A6" s="87" t="str">
        <x:v>Source</x:v>
      </x:c>
      <x:c r="B6" s="88" t="str">
        <x:v>Placeholder</x:v>
      </x:c>
      <x:c r="C6" s="88" t="str">
        <x:v>Placeholder</x:v>
      </x:c>
      <x:c r="D6" s="88" t="str">
        <x:v>Placeholder</x:v>
      </x:c>
      <x:c r="E6" s="88" t="str">
        <x:v>Placeholder</x:v>
      </x:c>
      <x:c r="F6" s="88" t="str">
        <x:v>Placeholder</x:v>
      </x:c>
      <x:c r="G6" s="88" t="str">
        <x:v>Placeholder</x:v>
      </x:c>
      <x:c r="H6" s="88" t="str">
        <x:v>Formula</x:v>
      </x:c>
      <x:c r="I6" s="88" t="str">
        <x:v>Formula</x:v>
      </x:c>
      <x:c r="J6" s="88" t="str">
        <x:v>Formula</x:v>
      </x:c>
      <x:c r="K6" s="88" t="str">
        <x:v>Formula</x:v>
      </x:c>
      <x:c r="L6" s="89" t="str">
        <x:v>Formula</x:v>
      </x:c>
    </x:row>
    <x:row r="8">
      <x:c r="A8" s="96" t="str">
        <x:v>Revenue</x:v>
      </x:c>
      <x:c r="B8" s="107" t="n">
        <x:v>1000</x:v>
      </x:c>
      <x:c r="C8" s="108" t="n">
        <x:v>1120</x:v>
      </x:c>
      <x:c r="D8" s="108" t="n">
        <x:v>1280</x:v>
      </x:c>
      <x:c r="E8" s="108" t="n">
        <x:v>1450</x:v>
      </x:c>
      <x:c r="F8" s="108" t="n">
        <x:v>1660</x:v>
      </x:c>
      <x:c r="G8" s="109" t="n">
        <x:v>1900</x:v>
      </x:c>
      <x:c r="H8" s="98" t="n">
        <x:f>G8*(1+'Assumptions'!$B$19)</x:f>
        <x:v>2052</x:v>
      </x:c>
      <x:c r="I8" s="98" t="n">
        <x:f>H8*(1+'Assumptions'!$B$19)</x:f>
        <x:v>2216.1600000000003</x:v>
      </x:c>
      <x:c r="J8" s="98" t="n">
        <x:f>I8*(1+'Assumptions'!$B$19)</x:f>
        <x:v>2393.4528000000005</x:v>
      </x:c>
      <x:c r="K8" s="98" t="n">
        <x:f>J8*(1+'Assumptions'!$B$19)</x:f>
        <x:v>2584.9290240000005</x:v>
      </x:c>
      <x:c r="L8" s="98" t="n">
        <x:f>K8*(1+'Assumptions'!$B$19)</x:f>
        <x:v>2791.7233459200006</x:v>
      </x:c>
    </x:row>
    <x:row r="9">
      <x:c r="A9" s="91" t="str">
        <x:v>Revenue Growth</x:v>
      </x:c>
      <x:c r="B9" s="70"/>
      <x:c r="C9" s="70" t="n">
        <x:f>C8/B8-1</x:f>
        <x:v>0.1200000000000001</x:v>
      </x:c>
      <x:c r="D9" s="70" t="n">
        <x:f>D8/C8-1</x:f>
        <x:v>0.1428571428571428</x:v>
      </x:c>
      <x:c r="E9" s="70" t="n">
        <x:f>E8/D8-1</x:f>
        <x:v>0.1328125</x:v>
      </x:c>
      <x:c r="F9" s="70" t="n">
        <x:f>F8/E8-1</x:f>
        <x:v>0.14482758620689662</x:v>
      </x:c>
      <x:c r="G9" s="70" t="n">
        <x:f>G8/F8-1</x:f>
        <x:v>0.14457831325301207</x:v>
      </x:c>
      <x:c r="H9" s="28" t="n">
        <x:f>H8/G8-1</x:f>
        <x:v>0.08000000000000007</x:v>
      </x:c>
      <x:c r="I9" s="28" t="n">
        <x:f>I8/H8-1</x:f>
        <x:v>0.08000000000000007</x:v>
      </x:c>
      <x:c r="J9" s="28" t="n">
        <x:f>J8/I8-1</x:f>
        <x:v>0.08000000000000007</x:v>
      </x:c>
      <x:c r="K9" s="28" t="n">
        <x:f>K8/J8-1</x:f>
        <x:v>0.08000000000000007</x:v>
      </x:c>
      <x:c r="L9" s="28" t="n">
        <x:f>L8/K8-1</x:f>
        <x:v>0.08000000000000007</x:v>
      </x:c>
    </x:row>
    <x:row r="10">
      <x:c r="A10" s="91" t="str">
        <x:v>Gross Profit</x:v>
      </x:c>
      <x:c r="B10" s="112" t="n">
        <x:v>560</x:v>
      </x:c>
      <x:c r="C10" s="113" t="n">
        <x:v>638</x:v>
      </x:c>
      <x:c r="D10" s="113" t="n">
        <x:v>742</x:v>
      </x:c>
      <x:c r="E10" s="113" t="n">
        <x:v>856</x:v>
      </x:c>
      <x:c r="F10" s="113" t="n">
        <x:v>996</x:v>
      </x:c>
      <x:c r="G10" s="114" t="n">
        <x:v>1169</x:v>
      </x:c>
      <x:c r="H10" s="29" t="n">
        <x:f>H8*$G$11</x:f>
        <x:v>1262.52</x:v>
      </x:c>
      <x:c r="I10" s="29" t="n">
        <x:f>I8*$G$11</x:f>
        <x:v>1363.5216000000003</x:v>
      </x:c>
      <x:c r="J10" s="29" t="n">
        <x:f>J8*$G$11</x:f>
        <x:v>1472.6033280000004</x:v>
      </x:c>
      <x:c r="K10" s="29" t="n">
        <x:f>K8*$G$11</x:f>
        <x:v>1590.4115942400003</x:v>
      </x:c>
      <x:c r="L10" s="29" t="n">
        <x:f>L8*$G$11</x:f>
        <x:v>1717.6445217792004</x:v>
      </x:c>
    </x:row>
    <x:row r="11">
      <x:c r="A11" s="91" t="str">
        <x:v>Gross Margin</x:v>
      </x:c>
      <x:c r="B11" s="70" t="n">
        <x:f>B10/B8</x:f>
        <x:v>0.56</x:v>
      </x:c>
      <x:c r="C11" s="70" t="n">
        <x:f>C10/C8</x:f>
        <x:v>0.5696428571428571</x:v>
      </x:c>
      <x:c r="D11" s="70" t="n">
        <x:f>D10/D8</x:f>
        <x:v>0.5796875</x:v>
      </x:c>
      <x:c r="E11" s="70" t="n">
        <x:f>E10/E8</x:f>
        <x:v>0.5903448275862069</x:v>
      </x:c>
      <x:c r="F11" s="70" t="n">
        <x:f>F10/F8</x:f>
        <x:v>0.6</x:v>
      </x:c>
      <x:c r="G11" s="70" t="n">
        <x:f>G10/G8</x:f>
        <x:v>0.6152631578947368</x:v>
      </x:c>
      <x:c r="H11" s="28" t="n">
        <x:f>H10/H8</x:f>
        <x:v>0.6152631578947368</x:v>
      </x:c>
      <x:c r="I11" s="28" t="n">
        <x:f>I10/I8</x:f>
        <x:v>0.6152631578947368</x:v>
      </x:c>
      <x:c r="J11" s="28" t="n">
        <x:f>J10/J8</x:f>
        <x:v>0.6152631578947368</x:v>
      </x:c>
      <x:c r="K11" s="28" t="n">
        <x:f>K10/K8</x:f>
        <x:v>0.6152631578947368</x:v>
      </x:c>
      <x:c r="L11" s="28" t="n">
        <x:f>L10/L8</x:f>
        <x:v>0.6152631578947368</x:v>
      </x:c>
    </x:row>
    <x:row r="12">
      <x:c r="A12" s="96" t="str">
        <x:v>EBITDA</x:v>
      </x:c>
      <x:c r="B12" s="107" t="n">
        <x:v>150</x:v>
      </x:c>
      <x:c r="C12" s="108" t="n">
        <x:v>180</x:v>
      </x:c>
      <x:c r="D12" s="108" t="n">
        <x:v>224</x:v>
      </x:c>
      <x:c r="E12" s="108" t="n">
        <x:v>268</x:v>
      </x:c>
      <x:c r="F12" s="108" t="n">
        <x:v>332</x:v>
      </x:c>
      <x:c r="G12" s="109" t="n">
        <x:v>399</x:v>
      </x:c>
      <x:c r="H12" s="98" t="n">
        <x:f>H8*($G$13+('Assumptions'!$B$20-$G$13)*(COLUMNS($H:H)/5))</x:f>
        <x:v>435.024</x:v>
      </x:c>
      <x:c r="I12" s="98" t="n">
        <x:f>I8*($G$13+('Assumptions'!$B$20-$G$13)*(COLUMNS($H:H)/5))</x:f>
        <x:v>469.82592000000005</x:v>
      </x:c>
      <x:c r="J12" s="98" t="n">
        <x:f>J8*($G$13+('Assumptions'!$B$20-$G$13)*(COLUMNS($H:H)/5))</x:f>
        <x:v>507.4119936000001</x:v>
      </x:c>
      <x:c r="K12" s="98" t="n">
        <x:f>K8*($G$13+('Assumptions'!$B$20-$G$13)*(COLUMNS($H:H)/5))</x:f>
        <x:v>548.0049530880001</x:v>
      </x:c>
      <x:c r="L12" s="98" t="n">
        <x:f>L8*($G$13+('Assumptions'!$B$20-$G$13)*(COLUMNS($H:H)/5))</x:f>
        <x:v>591.8453493350402</x:v>
      </x:c>
    </x:row>
    <x:row r="13">
      <x:c r="A13" s="91" t="str">
        <x:v>EBITDA Margin</x:v>
      </x:c>
      <x:c r="B13" s="70" t="n">
        <x:f>B12/B8</x:f>
        <x:v>0.15</x:v>
      </x:c>
      <x:c r="C13" s="70" t="n">
        <x:f>C12/C8</x:f>
        <x:v>0.16071428571428573</x:v>
      </x:c>
      <x:c r="D13" s="70" t="n">
        <x:f>D12/D8</x:f>
        <x:v>0.175</x:v>
      </x:c>
      <x:c r="E13" s="70" t="n">
        <x:f>E12/E8</x:f>
        <x:v>0.18482758620689654</x:v>
      </x:c>
      <x:c r="F13" s="70" t="n">
        <x:f>F12/F8</x:f>
        <x:v>0.2</x:v>
      </x:c>
      <x:c r="G13" s="70" t="n">
        <x:f>G12/G8</x:f>
        <x:v>0.21</x:v>
      </x:c>
      <x:c r="H13" s="28" t="n">
        <x:f>H12/H8</x:f>
        <x:v>0.212</x:v>
      </x:c>
      <x:c r="I13" s="28" t="n">
        <x:f>I12/I8</x:f>
        <x:v>0.212</x:v>
      </x:c>
      <x:c r="J13" s="28" t="n">
        <x:f>J12/J8</x:f>
        <x:v>0.212</x:v>
      </x:c>
      <x:c r="K13" s="28" t="n">
        <x:f>K12/K8</x:f>
        <x:v>0.212</x:v>
      </x:c>
      <x:c r="L13" s="28" t="n">
        <x:f>L12/L8</x:f>
        <x:v>0.21200000000000002</x:v>
      </x:c>
    </x:row>
    <x:row r="14">
      <x:c r="A14" s="91" t="str">
        <x:v>EBIT</x:v>
      </x:c>
      <x:c r="B14" s="112" t="n">
        <x:v>110</x:v>
      </x:c>
      <x:c r="C14" s="113" t="n">
        <x:v>135</x:v>
      </x:c>
      <x:c r="D14" s="113" t="n">
        <x:v>174</x:v>
      </x:c>
      <x:c r="E14" s="113" t="n">
        <x:v>210</x:v>
      </x:c>
      <x:c r="F14" s="113" t="n">
        <x:v>265</x:v>
      </x:c>
      <x:c r="G14" s="114" t="n">
        <x:v>323</x:v>
      </x:c>
      <x:c r="H14" s="29" t="n">
        <x:f>H12-H29</x:f>
        <x:v>352.944</x:v>
      </x:c>
      <x:c r="I14" s="29" t="n">
        <x:f>I12-I29</x:f>
        <x:v>381.17952</x:v>
      </x:c>
      <x:c r="J14" s="29" t="n">
        <x:f>J12-J29</x:f>
        <x:v>411.6738816000001</x:v>
      </x:c>
      <x:c r="K14" s="29" t="n">
        <x:f>K12-K29</x:f>
        <x:v>444.6077921280001</x:v>
      </x:c>
      <x:c r="L14" s="29" t="n">
        <x:f>L12-L29</x:f>
        <x:v>480.17641549824015</x:v>
      </x:c>
    </x:row>
    <x:row r="15">
      <x:c r="A15" s="91" t="str">
        <x:v>EBIT Margin</x:v>
      </x:c>
      <x:c r="B15" s="70" t="n">
        <x:f>B14/B8</x:f>
        <x:v>0.11</x:v>
      </x:c>
      <x:c r="C15" s="70" t="n">
        <x:f>C14/C8</x:f>
        <x:v>0.12053571428571429</x:v>
      </x:c>
      <x:c r="D15" s="70" t="n">
        <x:f>D14/D8</x:f>
        <x:v>0.1359375</x:v>
      </x:c>
      <x:c r="E15" s="70" t="n">
        <x:f>E14/E8</x:f>
        <x:v>0.14482758620689656</x:v>
      </x:c>
      <x:c r="F15" s="70" t="n">
        <x:f>F14/F8</x:f>
        <x:v>0.15963855421686746</x:v>
      </x:c>
      <x:c r="G15" s="70" t="n">
        <x:f>G14/G8</x:f>
        <x:v>0.17</x:v>
      </x:c>
      <x:c r="H15" s="28" t="n">
        <x:f>H14/H8</x:f>
        <x:v>0.17200000000000001</x:v>
      </x:c>
      <x:c r="I15" s="28" t="n">
        <x:f>I14/I8</x:f>
        <x:v>0.172</x:v>
      </x:c>
      <x:c r="J15" s="28" t="n">
        <x:f>J14/J8</x:f>
        <x:v>0.172</x:v>
      </x:c>
      <x:c r="K15" s="28" t="n">
        <x:f>K14/K8</x:f>
        <x:v>0.17200000000000001</x:v>
      </x:c>
      <x:c r="L15" s="28" t="n">
        <x:f>L14/L8</x:f>
        <x:v>0.17200000000000001</x:v>
      </x:c>
    </x:row>
    <x:row r="16">
      <x:c r="A16" s="96" t="str">
        <x:v>Net Income</x:v>
      </x:c>
      <x:c r="B16" s="107" t="n">
        <x:v>78</x:v>
      </x:c>
      <x:c r="C16" s="108" t="n">
        <x:v>96</x:v>
      </x:c>
      <x:c r="D16" s="108" t="n">
        <x:v>125</x:v>
      </x:c>
      <x:c r="E16" s="108" t="n">
        <x:v>151</x:v>
      </x:c>
      <x:c r="F16" s="108" t="n">
        <x:v>191</x:v>
      </x:c>
      <x:c r="G16" s="109" t="n">
        <x:v>233</x:v>
      </x:c>
      <x:c r="H16" s="98" t="n">
        <x:f>H14*(1-'Assumptions'!$B$15)</x:f>
        <x:v>264.708</x:v>
      </x:c>
      <x:c r="I16" s="98" t="n">
        <x:f>I14*(1-'Assumptions'!$B$15)</x:f>
        <x:v>285.88464</x:v>
      </x:c>
      <x:c r="J16" s="98" t="n">
        <x:f>J14*(1-'Assumptions'!$B$15)</x:f>
        <x:v>308.7554112</x:v>
      </x:c>
      <x:c r="K16" s="98" t="n">
        <x:f>K14*(1-'Assumptions'!$B$15)</x:f>
        <x:v>333.4558440960001</x:v>
      </x:c>
      <x:c r="L16" s="98" t="n">
        <x:f>L14*(1-'Assumptions'!$B$15)</x:f>
        <x:v>360.1323116236801</x:v>
      </x:c>
    </x:row>
    <x:row r="17">
      <x:c r="A17" s="91" t="str">
        <x:v>Net Margin</x:v>
      </x:c>
      <x:c r="B17" s="70" t="n">
        <x:f>B16/B8</x:f>
        <x:v>0.078</x:v>
      </x:c>
      <x:c r="C17" s="70" t="n">
        <x:f>C16/C8</x:f>
        <x:v>0.08571428571428572</x:v>
      </x:c>
      <x:c r="D17" s="70" t="n">
        <x:f>D16/D8</x:f>
        <x:v>0.09765625</x:v>
      </x:c>
      <x:c r="E17" s="70" t="n">
        <x:f>E16/E8</x:f>
        <x:v>0.10413793103448275</x:v>
      </x:c>
      <x:c r="F17" s="70" t="n">
        <x:f>F16/F8</x:f>
        <x:v>0.11506024096385542</x:v>
      </x:c>
      <x:c r="G17" s="70" t="n">
        <x:f>G16/G8</x:f>
        <x:v>0.12263157894736842</x:v>
      </x:c>
      <x:c r="H17" s="28" t="n">
        <x:f>H16/H8</x:f>
        <x:v>0.129</x:v>
      </x:c>
      <x:c r="I17" s="28" t="n">
        <x:f>I16/I8</x:f>
        <x:v>0.12899999999999998</x:v>
      </x:c>
      <x:c r="J17" s="28" t="n">
        <x:f>J16/J8</x:f>
        <x:v>0.12899999999999998</x:v>
      </x:c>
      <x:c r="K17" s="28" t="n">
        <x:f>K16/K8</x:f>
        <x:v>0.129</x:v>
      </x:c>
      <x:c r="L17" s="28" t="n">
        <x:f>L16/L8</x:f>
        <x:v>0.129</x:v>
      </x:c>
    </x:row>
    <x:row r="18">
      <x:c r="A18" s="91" t="str"/>
      <x:c r="B18" s="34"/>
      <x:c r="C18" s="34"/>
      <x:c r="D18" s="34"/>
      <x:c r="E18" s="34"/>
      <x:c r="F18" s="34"/>
      <x:c r="G18" s="34"/>
      <x:c r="H18" s="35"/>
      <x:c r="I18" s="35"/>
      <x:c r="J18" s="35"/>
      <x:c r="K18" s="35"/>
      <x:c r="L18" s="35"/>
    </x:row>
    <x:row r="19">
      <x:c r="A19" s="91" t="str">
        <x:v>Cash &amp; Equivalents</x:v>
      </x:c>
      <x:c r="B19" s="115" t="n">
        <x:v>140</x:v>
      </x:c>
      <x:c r="C19" s="116" t="n">
        <x:v>155</x:v>
      </x:c>
      <x:c r="D19" s="116" t="n">
        <x:v>175</x:v>
      </x:c>
      <x:c r="E19" s="116" t="n">
        <x:v>205</x:v>
      </x:c>
      <x:c r="F19" s="116" t="n">
        <x:v>230</x:v>
      </x:c>
      <x:c r="G19" s="117" t="n">
        <x:v>250</x:v>
      </x:c>
      <x:c r="H19" s="29" t="n">
        <x:f>G19+H27</x:f>
        <x:v>250</x:v>
      </x:c>
      <x:c r="I19" s="29" t="n">
        <x:f>H19+I27</x:f>
        <x:v>500.59024</x:v>
      </x:c>
      <x:c r="J19" s="29" t="n">
        <x:f>I19+J27</x:f>
        <x:v>771.2276992</x:v>
      </x:c>
      <x:c r="K19" s="29" t="n">
        <x:f>J19+K27</x:f>
        <x:v>1063.516155136</x:v>
      </x:c>
      <x:c r="L19" s="29" t="n">
        <x:f>K19+L27</x:f>
        <x:v>1379.18768754688</x:v>
      </x:c>
    </x:row>
    <x:row r="20">
      <x:c r="A20" s="91" t="str">
        <x:v>Total Debt</x:v>
      </x:c>
      <x:c r="B20" s="118" t="n">
        <x:v>420</x:v>
      </x:c>
      <x:c r="C20" s="119" t="n">
        <x:v>435</x:v>
      </x:c>
      <x:c r="D20" s="119" t="n">
        <x:v>450</x:v>
      </x:c>
      <x:c r="E20" s="119" t="n">
        <x:v>470</x:v>
      </x:c>
      <x:c r="F20" s="119" t="n">
        <x:v>490</x:v>
      </x:c>
      <x:c r="G20" s="120" t="n">
        <x:v>500</x:v>
      </x:c>
      <x:c r="H20" s="29" t="n">
        <x:f>G20</x:f>
        <x:v>500</x:v>
      </x:c>
      <x:c r="I20" s="29" t="n">
        <x:f>H20</x:f>
        <x:v>500</x:v>
      </x:c>
      <x:c r="J20" s="29" t="n">
        <x:f>I20</x:f>
        <x:v>500</x:v>
      </x:c>
      <x:c r="K20" s="29" t="n">
        <x:f>J20</x:f>
        <x:v>500</x:v>
      </x:c>
      <x:c r="L20" s="29" t="n">
        <x:f>K20</x:f>
        <x:v>500</x:v>
      </x:c>
    </x:row>
    <x:row r="21">
      <x:c r="A21" s="96" t="str">
        <x:v>Net Debt</x:v>
      </x:c>
      <x:c r="B21" s="98" t="n">
        <x:f>B20-B19</x:f>
        <x:v>280</x:v>
      </x:c>
      <x:c r="C21" s="98" t="n">
        <x:f>C20-C19</x:f>
        <x:v>280</x:v>
      </x:c>
      <x:c r="D21" s="98" t="n">
        <x:f>D20-D19</x:f>
        <x:v>275</x:v>
      </x:c>
      <x:c r="E21" s="98" t="n">
        <x:f>E20-E19</x:f>
        <x:v>265</x:v>
      </x:c>
      <x:c r="F21" s="98" t="n">
        <x:f>F20-F19</x:f>
        <x:v>260</x:v>
      </x:c>
      <x:c r="G21" s="98" t="n">
        <x:f>G20-G19</x:f>
        <x:v>250</x:v>
      </x:c>
      <x:c r="H21" s="98" t="n">
        <x:f>H20-H19</x:f>
        <x:v>250</x:v>
      </x:c>
      <x:c r="I21" s="98" t="n">
        <x:f>I20-I19</x:f>
        <x:v>-0.5902399999999943</x:v>
      </x:c>
      <x:c r="J21" s="98" t="n">
        <x:f>J20-J19</x:f>
        <x:v>-271.22769919999996</x:v>
      </x:c>
      <x:c r="K21" s="98" t="n">
        <x:f>K20-K19</x:f>
        <x:v>-563.516155136</x:v>
      </x:c>
      <x:c r="L21" s="98" t="n">
        <x:f>L20-L19</x:f>
        <x:v>-879.1876875468799</x:v>
      </x:c>
    </x:row>
    <x:row r="22">
      <x:c r="A22" s="91" t="str">
        <x:v>Diluted Shares</x:v>
      </x:c>
      <x:c r="B22" s="123" t="n">
        <x:v>100</x:v>
      </x:c>
      <x:c r="C22" s="124" t="n">
        <x:v>100</x:v>
      </x:c>
      <x:c r="D22" s="124" t="n">
        <x:v>100</x:v>
      </x:c>
      <x:c r="E22" s="124" t="n">
        <x:v>100</x:v>
      </x:c>
      <x:c r="F22" s="124" t="n">
        <x:v>100</x:v>
      </x:c>
      <x:c r="G22" s="125" t="n">
        <x:v>100</x:v>
      </x:c>
      <x:c r="H22" s="101" t="n">
        <x:f>'Assumptions'!$B$12</x:f>
        <x:v>100</x:v>
      </x:c>
      <x:c r="I22" s="101" t="n">
        <x:f>'Assumptions'!$B$12</x:f>
        <x:v>100</x:v>
      </x:c>
      <x:c r="J22" s="101" t="n">
        <x:f>'Assumptions'!$B$12</x:f>
        <x:v>100</x:v>
      </x:c>
      <x:c r="K22" s="101" t="n">
        <x:f>'Assumptions'!$B$12</x:f>
        <x:v>100</x:v>
      </x:c>
      <x:c r="L22" s="101" t="n">
        <x:f>'Assumptions'!$B$12</x:f>
        <x:v>100</x:v>
      </x:c>
    </x:row>
    <x:row r="23">
      <x:c r="A23" s="91" t="str">
        <x:v>EPS</x:v>
      </x:c>
      <x:c r="B23" s="102" t="n">
        <x:f>B16/B22</x:f>
        <x:v>0.78</x:v>
      </x:c>
      <x:c r="C23" s="102" t="n">
        <x:f>C16/C22</x:f>
        <x:v>0.96</x:v>
      </x:c>
      <x:c r="D23" s="102" t="n">
        <x:f>D16/D22</x:f>
        <x:v>1.25</x:v>
      </x:c>
      <x:c r="E23" s="102" t="n">
        <x:f>E16/E22</x:f>
        <x:v>1.51</x:v>
      </x:c>
      <x:c r="F23" s="102" t="n">
        <x:f>F16/F22</x:f>
        <x:v>1.91</x:v>
      </x:c>
      <x:c r="G23" s="102" t="n">
        <x:f>G16/G22</x:f>
        <x:v>2.33</x:v>
      </x:c>
      <x:c r="H23" s="27" t="n">
        <x:f>H16/H22</x:f>
        <x:v>2.6470800000000003</x:v>
      </x:c>
      <x:c r="I23" s="27" t="n">
        <x:f>I16/I22</x:f>
        <x:v>2.8588464</x:v>
      </x:c>
      <x:c r="J23" s="27" t="n">
        <x:f>J16/J22</x:f>
        <x:v>3.0875541120000003</x:v>
      </x:c>
      <x:c r="K23" s="27" t="n">
        <x:f>K16/K22</x:f>
        <x:v>3.334558440960001</x:v>
      </x:c>
      <x:c r="L23" s="27" t="n">
        <x:f>L16/L22</x:f>
        <x:v>3.601323116236801</x:v>
      </x:c>
    </x:row>
    <x:row r="24">
      <x:c r="A24" s="91" t="str"/>
      <x:c r="B24" s="34"/>
      <x:c r="C24" s="34"/>
      <x:c r="D24" s="34"/>
      <x:c r="E24" s="34"/>
      <x:c r="F24" s="34"/>
      <x:c r="G24" s="34"/>
      <x:c r="H24" s="35"/>
      <x:c r="I24" s="35"/>
      <x:c r="J24" s="35"/>
      <x:c r="K24" s="35"/>
      <x:c r="L24" s="35"/>
    </x:row>
    <x:row r="25">
      <x:c r="A25" s="91" t="str">
        <x:v>Operating Cash Flow</x:v>
      </x:c>
      <x:c r="B25" s="115" t="n">
        <x:v>120</x:v>
      </x:c>
      <x:c r="C25" s="116" t="n">
        <x:v>145</x:v>
      </x:c>
      <x:c r="D25" s="116" t="n">
        <x:v>175</x:v>
      </x:c>
      <x:c r="E25" s="116" t="n">
        <x:v>212</x:v>
      </x:c>
      <x:c r="F25" s="116" t="n">
        <x:v>255</x:v>
      </x:c>
      <x:c r="G25" s="117" t="n">
        <x:v>308</x:v>
      </x:c>
      <x:c r="H25" s="29" t="n">
        <x:f>H16+H29-(H8-G8)*'Assumptions'!$B$23</x:f>
        <x:v>334.628</x:v>
      </x:c>
      <x:c r="I25" s="29" t="n">
        <x:f>I16+I29-(I8-H8)*'Assumptions'!$B$23</x:f>
        <x:v>361.39824</x:v>
      </x:c>
      <x:c r="J25" s="29" t="n">
        <x:f>J16+J29-(J8-I8)*'Assumptions'!$B$23</x:f>
        <x:v>390.3100992</x:v>
      </x:c>
      <x:c r="K25" s="29" t="n">
        <x:f>K16+K29-(K8-J8)*'Assumptions'!$B$23</x:f>
        <x:v>421.5349071360001</x:v>
      </x:c>
      <x:c r="L25" s="29" t="n">
        <x:f>L16+L29-(L8-K8)*'Assumptions'!$B$23</x:f>
        <x:v>455.2576997068801</x:v>
      </x:c>
    </x:row>
    <x:row r="26">
      <x:c r="A26" s="91" t="str">
        <x:v>Capital Expenditure</x:v>
      </x:c>
      <x:c r="B26" s="118" t="n">
        <x:v>55</x:v>
      </x:c>
      <x:c r="C26" s="119" t="n">
        <x:v>60</x:v>
      </x:c>
      <x:c r="D26" s="119" t="n">
        <x:v>68</x:v>
      </x:c>
      <x:c r="E26" s="119" t="n">
        <x:v>77</x:v>
      </x:c>
      <x:c r="F26" s="119" t="n">
        <x:v>88</x:v>
      </x:c>
      <x:c r="G26" s="120" t="n">
        <x:v>100</x:v>
      </x:c>
      <x:c r="H26" s="29" t="n">
        <x:f>H8*'Assumptions'!$B$22</x:f>
        <x:v>102.60000000000001</x:v>
      </x:c>
      <x:c r="I26" s="29" t="n">
        <x:f>I8*'Assumptions'!$B$22</x:f>
        <x:v>110.80800000000002</x:v>
      </x:c>
      <x:c r="J26" s="29" t="n">
        <x:f>J8*'Assumptions'!$B$22</x:f>
        <x:v>119.67264000000003</x:v>
      </x:c>
      <x:c r="K26" s="29" t="n">
        <x:f>K8*'Assumptions'!$B$22</x:f>
        <x:v>129.24645120000002</x:v>
      </x:c>
      <x:c r="L26" s="29" t="n">
        <x:f>L8*'Assumptions'!$B$22</x:f>
        <x:v>139.58616729600004</x:v>
      </x:c>
    </x:row>
    <x:row r="27">
      <x:c r="A27" s="96" t="str">
        <x:v>Free Cash Flow</x:v>
      </x:c>
      <x:c r="B27" s="98" t="n">
        <x:f>B25-B26</x:f>
        <x:v>65</x:v>
      </x:c>
      <x:c r="C27" s="98" t="n">
        <x:f>C25-C26</x:f>
        <x:v>85</x:v>
      </x:c>
      <x:c r="D27" s="98" t="n">
        <x:f>D25-D26</x:f>
        <x:v>107</x:v>
      </x:c>
      <x:c r="E27" s="98" t="n">
        <x:f>E25-E26</x:f>
        <x:v>135</x:v>
      </x:c>
      <x:c r="F27" s="98" t="n">
        <x:f>F25-F26</x:f>
        <x:v>167</x:v>
      </x:c>
      <x:c r="G27" s="98" t="n">
        <x:f>G25-G26</x:f>
        <x:v>208</x:v>
      </x:c>
      <x:c r="H27" s="98" t="n">
        <x:f>H25-H26</x:f>
        <x:v>232.02799999999996</x:v>
      </x:c>
      <x:c r="I27" s="98" t="n">
        <x:f>I25-I26</x:f>
        <x:v>250.59023999999997</x:v>
      </x:c>
      <x:c r="J27" s="98" t="n">
        <x:f>J25-J26</x:f>
        <x:v>270.63745919999997</x:v>
      </x:c>
      <x:c r="K27" s="98" t="n">
        <x:f>K25-K26</x:f>
        <x:v>292.28845593600005</x:v>
      </x:c>
      <x:c r="L27" s="98" t="n">
        <x:f>L25-L26</x:f>
        <x:v>315.67153241088005</x:v>
      </x:c>
    </x:row>
    <x:row r="28">
      <x:c r="A28" s="91" t="str">
        <x:v>FCF Margin</x:v>
      </x:c>
      <x:c r="B28" s="70" t="n">
        <x:f>B27/B8</x:f>
        <x:v>0.065</x:v>
      </x:c>
      <x:c r="C28" s="70" t="n">
        <x:f>C27/C8</x:f>
        <x:v>0.07589285714285714</x:v>
      </x:c>
      <x:c r="D28" s="70" t="n">
        <x:f>D27/D8</x:f>
        <x:v>0.08359375</x:v>
      </x:c>
      <x:c r="E28" s="70" t="n">
        <x:f>E27/E8</x:f>
        <x:v>0.09310344827586207</x:v>
      </x:c>
      <x:c r="F28" s="70" t="n">
        <x:f>F27/F8</x:f>
        <x:v>0.10060240963855421</x:v>
      </x:c>
      <x:c r="G28" s="70" t="n">
        <x:f>G27/G8</x:f>
        <x:v>0.10947368421052632</x:v>
      </x:c>
      <x:c r="H28" s="28" t="n">
        <x:f>H27/H8</x:f>
        <x:v>0.11307407407407406</x:v>
      </x:c>
      <x:c r="I28" s="28" t="n">
        <x:f>I27/I8</x:f>
        <x:v>0.11307407407407405</x:v>
      </x:c>
      <x:c r="J28" s="28" t="n">
        <x:f>J27/J8</x:f>
        <x:v>0.11307407407407404</x:v>
      </x:c>
      <x:c r="K28" s="28" t="n">
        <x:f>K27/K8</x:f>
        <x:v>0.11307407407407408</x:v>
      </x:c>
      <x:c r="L28" s="28" t="n">
        <x:f>L27/L8</x:f>
        <x:v>0.11307407407407406</x:v>
      </x:c>
    </x:row>
    <x:row r="29">
      <x:c r="A29" s="91" t="str">
        <x:v>D&amp;A</x:v>
      </x:c>
      <x:c r="B29" s="99" t="n">
        <x:f>B12-B14</x:f>
        <x:v>40</x:v>
      </x:c>
      <x:c r="C29" s="99" t="n">
        <x:f>C12-C14</x:f>
        <x:v>45</x:v>
      </x:c>
      <x:c r="D29" s="99" t="n">
        <x:f>D12-D14</x:f>
        <x:v>50</x:v>
      </x:c>
      <x:c r="E29" s="99" t="n">
        <x:f>E12-E14</x:f>
        <x:v>58</x:v>
      </x:c>
      <x:c r="F29" s="99" t="n">
        <x:f>F12-F14</x:f>
        <x:v>67</x:v>
      </x:c>
      <x:c r="G29" s="99" t="n">
        <x:f>G12-G14</x:f>
        <x:v>76</x:v>
      </x:c>
      <x:c r="H29" s="29" t="n">
        <x:f>H8*'Assumptions'!$B$21</x:f>
        <x:v>82.08</x:v>
      </x:c>
      <x:c r="I29" s="29" t="n">
        <x:f>I8*'Assumptions'!$B$21</x:f>
        <x:v>88.64640000000001</x:v>
      </x:c>
      <x:c r="J29" s="29" t="n">
        <x:f>J8*'Assumptions'!$B$21</x:f>
        <x:v>95.73811200000002</x:v>
      </x:c>
      <x:c r="K29" s="29" t="n">
        <x:f>K8*'Assumptions'!$B$21</x:f>
        <x:v>103.39716096000002</x:v>
      </x:c>
      <x:c r="L29" s="29" t="n">
        <x:f>L8*'Assumptions'!$B$21</x:f>
        <x:v>111.66893383680002</x:v>
      </x:c>
    </x:row>
    <x:row r="31">
      <x:c r="A31" s="39" t="str">
        <x:v>Replace yellow historical input cells with actual company financials. Forecast formulas use scenario assumptions from Assumptions. Amounts are in the selected units, currently $mm.</x:v>
      </x:c>
      <x:c r="B31" s="39"/>
      <x:c r="C31" s="39"/>
      <x:c r="D31" s="39"/>
      <x:c r="E31" s="39"/>
      <x:c r="F31" s="39"/>
      <x:c r="G31" s="39"/>
      <x:c r="H31" s="39"/>
      <x:c r="I31" s="39"/>
      <x:c r="J31" s="39"/>
      <x:c r="K31" s="39"/>
      <x:c r="L31" s="39"/>
    </x:row>
    <x:row r="32">
      <x:c r="A32" s="39"/>
      <x:c r="B32" s="39"/>
      <x:c r="C32" s="39"/>
      <x:c r="D32" s="39"/>
      <x:c r="E32" s="39"/>
      <x:c r="F32" s="39"/>
      <x:c r="G32" s="39"/>
      <x:c r="H32" s="39"/>
      <x:c r="I32" s="39"/>
      <x:c r="J32" s="39"/>
      <x:c r="K32" s="39"/>
      <x:c r="L32" s="39"/>
    </x:row>
    <x:row r="33">
      <x:c r="A33" s="39"/>
      <x:c r="B33" s="39"/>
      <x:c r="C33" s="39"/>
      <x:c r="D33" s="39"/>
      <x:c r="E33" s="39"/>
      <x:c r="F33" s="39"/>
      <x:c r="G33" s="39"/>
      <x:c r="H33" s="39"/>
      <x:c r="I33" s="39"/>
      <x:c r="J33" s="39"/>
      <x:c r="K33" s="39"/>
      <x:c r="L33" s="39"/>
    </x:row>
    <x:row r="34">
      <x:c r="A34" s="39"/>
      <x:c r="B34" s="39"/>
      <x:c r="C34" s="39"/>
      <x:c r="D34" s="39"/>
      <x:c r="E34" s="39"/>
      <x:c r="F34" s="39"/>
      <x:c r="G34" s="39"/>
      <x:c r="H34" s="39"/>
      <x:c r="I34" s="39"/>
      <x:c r="J34" s="39"/>
      <x:c r="K34" s="39"/>
      <x:c r="L34" s="39"/>
    </x:row>
  </x:sheetData>
  <x:mergeCells>
    <x:mergeCell ref="A1:L1"/>
    <x:mergeCell ref="A3:L3"/>
    <x:mergeCell ref="A31:L34"/>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2"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30" customHeight="1">
      <x:c r="A1" s="4" t="str">
        <x:v>Ratio Analysis</x:v>
      </x:c>
      <x:c r="B1" s="4" t="str">
        <x:v>Ratio Analysis</x:v>
      </x:c>
      <x:c r="C1" s="4" t="str">
        <x:v>Ratio Analysis</x:v>
      </x:c>
      <x:c r="D1" s="4" t="str">
        <x:v>Ratio Analysis</x:v>
      </x:c>
      <x:c r="E1" s="4" t="str">
        <x:v>Ratio Analysis</x:v>
      </x:c>
      <x:c r="F1" s="4" t="str">
        <x:v>Ratio Analysis</x:v>
      </x:c>
      <x:c r="G1" s="4" t="str">
        <x:v>Ratio Analysis</x:v>
      </x:c>
      <x:c r="H1" s="4" t="str">
        <x:v>Ratio Analysis</x:v>
      </x:c>
      <x:c r="I1" s="4" t="str">
        <x:v>Ratio Analysis</x:v>
      </x:c>
      <x:c r="J1" s="4" t="str">
        <x:v>Ratio Analysis</x:v>
      </x:c>
      <x:c r="K1" s="4" t="str">
        <x:v>Ratio Analysis</x:v>
      </x:c>
      <x:c r="L1" s="4" t="str">
        <x:v>Ratio Analysis</x:v>
      </x:c>
    </x:row>
    <x:row r="3">
      <x:c r="A3" s="14" t="str">
        <x:v>Profitability, Cash Flow, and Leverage</x:v>
      </x:c>
      <x:c r="B3" s="14" t="str">
        <x:v>Profitability, Cash Flow, and Leverage</x:v>
      </x:c>
      <x:c r="C3" s="14" t="str">
        <x:v>Profitability, Cash Flow, and Leverage</x:v>
      </x:c>
      <x:c r="D3" s="14" t="str">
        <x:v>Profitability, Cash Flow, and Leverage</x:v>
      </x:c>
      <x:c r="E3" s="14" t="str">
        <x:v>Profitability, Cash Flow, and Leverage</x:v>
      </x:c>
      <x:c r="F3" s="14" t="str">
        <x:v>Profitability, Cash Flow, and Leverage</x:v>
      </x:c>
      <x:c r="G3" s="14" t="str">
        <x:v>Profitability, Cash Flow, and Leverage</x:v>
      </x:c>
      <x:c r="H3" s="14" t="str">
        <x:v>Profitability, Cash Flow, and Leverage</x:v>
      </x:c>
      <x:c r="I3" s="14" t="str">
        <x:v>Profitability, Cash Flow, and Leverage</x:v>
      </x:c>
      <x:c r="J3" s="14" t="str">
        <x:v>Profitability, Cash Flow, and Leverage</x:v>
      </x:c>
      <x:c r="K3" s="14" t="str">
        <x:v>Profitability, Cash Flow, and Leverage</x:v>
      </x:c>
      <x:c r="L3" s="14" t="str">
        <x:v>Profitability, Cash Flow, and Leverage</x:v>
      </x:c>
    </x:row>
    <x:row r="4">
      <x:c r="A4" s="20" t="str">
        <x:v>Metric</x:v>
      </x:c>
      <x:c r="B4" s="126" t="str">
        <x:f>'Historical_Financials'!B4</x:f>
        <x:v>2020A</x:v>
      </x:c>
      <x:c r="C4" s="126" t="str">
        <x:f>'Historical_Financials'!C4</x:f>
        <x:v>2021A</x:v>
      </x:c>
      <x:c r="D4" s="126" t="str">
        <x:f>'Historical_Financials'!D4</x:f>
        <x:v>2022A</x:v>
      </x:c>
      <x:c r="E4" s="126" t="str">
        <x:f>'Historical_Financials'!E4</x:f>
        <x:v>2023A</x:v>
      </x:c>
      <x:c r="F4" s="126" t="str">
        <x:f>'Historical_Financials'!F4</x:f>
        <x:v>2024A</x:v>
      </x:c>
      <x:c r="G4" s="126" t="str">
        <x:f>'Historical_Financials'!G4</x:f>
        <x:v>2025A</x:v>
      </x:c>
      <x:c r="H4" s="126" t="str">
        <x:f>'Historical_Financials'!H4</x:f>
        <x:v>2026E</x:v>
      </x:c>
      <x:c r="I4" s="126" t="str">
        <x:f>'Historical_Financials'!I4</x:f>
        <x:v>2027E</x:v>
      </x:c>
      <x:c r="J4" s="126" t="str">
        <x:f>'Historical_Financials'!J4</x:f>
        <x:v>2028E</x:v>
      </x:c>
      <x:c r="K4" s="126" t="str">
        <x:f>'Historical_Financials'!K4</x:f>
        <x:v>2029E</x:v>
      </x:c>
      <x:c r="L4" s="127" t="str">
        <x:f>'Historical_Financials'!L4</x:f>
        <x:v>2030E</x:v>
      </x:c>
    </x:row>
    <x:row r="6">
      <x:c r="A6" t="str">
        <x:v>Revenue Growth</x:v>
      </x:c>
      <x:c r="B6" s="28" t="n">
        <x:f>'Historical_Financials'!B9</x:f>
        <x:v>0</x:v>
      </x:c>
      <x:c r="C6" s="28" t="n">
        <x:f>'Historical_Financials'!C9</x:f>
        <x:v>0.1200000000000001</x:v>
      </x:c>
      <x:c r="D6" s="28" t="n">
        <x:f>'Historical_Financials'!D9</x:f>
        <x:v>0.1428571428571428</x:v>
      </x:c>
      <x:c r="E6" s="28" t="n">
        <x:f>'Historical_Financials'!E9</x:f>
        <x:v>0.1328125</x:v>
      </x:c>
      <x:c r="F6" s="28" t="n">
        <x:f>'Historical_Financials'!F9</x:f>
        <x:v>0.14482758620689662</x:v>
      </x:c>
      <x:c r="G6" s="28" t="n">
        <x:f>'Historical_Financials'!G9</x:f>
        <x:v>0.14457831325301207</x:v>
      </x:c>
      <x:c r="H6" s="28" t="n">
        <x:f>'Historical_Financials'!H9</x:f>
        <x:v>0.08000000000000007</x:v>
      </x:c>
      <x:c r="I6" s="28" t="n">
        <x:f>'Historical_Financials'!I9</x:f>
        <x:v>0.08000000000000007</x:v>
      </x:c>
      <x:c r="J6" s="28" t="n">
        <x:f>'Historical_Financials'!J9</x:f>
        <x:v>0.08000000000000007</x:v>
      </x:c>
      <x:c r="K6" s="28" t="n">
        <x:f>'Historical_Financials'!K9</x:f>
        <x:v>0.08000000000000007</x:v>
      </x:c>
      <x:c r="L6" s="28" t="n">
        <x:f>'Historical_Financials'!L9</x:f>
        <x:v>0.08000000000000007</x:v>
      </x:c>
    </x:row>
    <x:row r="7">
      <x:c r="A7" t="str">
        <x:v>Gross Margin</x:v>
      </x:c>
      <x:c r="B7" s="28" t="n">
        <x:f>'Historical_Financials'!B11</x:f>
        <x:v>0.56</x:v>
      </x:c>
      <x:c r="C7" s="28" t="n">
        <x:f>'Historical_Financials'!C11</x:f>
        <x:v>0.5696428571428571</x:v>
      </x:c>
      <x:c r="D7" s="28" t="n">
        <x:f>'Historical_Financials'!D11</x:f>
        <x:v>0.5796875</x:v>
      </x:c>
      <x:c r="E7" s="28" t="n">
        <x:f>'Historical_Financials'!E11</x:f>
        <x:v>0.5903448275862069</x:v>
      </x:c>
      <x:c r="F7" s="28" t="n">
        <x:f>'Historical_Financials'!F11</x:f>
        <x:v>0.6</x:v>
      </x:c>
      <x:c r="G7" s="28" t="n">
        <x:f>'Historical_Financials'!G11</x:f>
        <x:v>0.6152631578947368</x:v>
      </x:c>
      <x:c r="H7" s="28" t="n">
        <x:f>'Historical_Financials'!H11</x:f>
        <x:v>0.6152631578947368</x:v>
      </x:c>
      <x:c r="I7" s="28" t="n">
        <x:f>'Historical_Financials'!I11</x:f>
        <x:v>0.6152631578947368</x:v>
      </x:c>
      <x:c r="J7" s="28" t="n">
        <x:f>'Historical_Financials'!J11</x:f>
        <x:v>0.6152631578947368</x:v>
      </x:c>
      <x:c r="K7" s="28" t="n">
        <x:f>'Historical_Financials'!K11</x:f>
        <x:v>0.6152631578947368</x:v>
      </x:c>
      <x:c r="L7" s="28" t="n">
        <x:f>'Historical_Financials'!L11</x:f>
        <x:v>0.6152631578947368</x:v>
      </x:c>
    </x:row>
    <x:row r="8">
      <x:c r="A8" t="str">
        <x:v>EBITDA Margin</x:v>
      </x:c>
      <x:c r="B8" s="28" t="n">
        <x:f>'Historical_Financials'!B13</x:f>
        <x:v>0.15</x:v>
      </x:c>
      <x:c r="C8" s="28" t="n">
        <x:f>'Historical_Financials'!C13</x:f>
        <x:v>0.16071428571428573</x:v>
      </x:c>
      <x:c r="D8" s="28" t="n">
        <x:f>'Historical_Financials'!D13</x:f>
        <x:v>0.175</x:v>
      </x:c>
      <x:c r="E8" s="28" t="n">
        <x:f>'Historical_Financials'!E13</x:f>
        <x:v>0.18482758620689654</x:v>
      </x:c>
      <x:c r="F8" s="28" t="n">
        <x:f>'Historical_Financials'!F13</x:f>
        <x:v>0.2</x:v>
      </x:c>
      <x:c r="G8" s="28" t="n">
        <x:f>'Historical_Financials'!G13</x:f>
        <x:v>0.21</x:v>
      </x:c>
      <x:c r="H8" s="28" t="n">
        <x:f>'Historical_Financials'!H13</x:f>
        <x:v>0.212</x:v>
      </x:c>
      <x:c r="I8" s="28" t="n">
        <x:f>'Historical_Financials'!I13</x:f>
        <x:v>0.212</x:v>
      </x:c>
      <x:c r="J8" s="28" t="n">
        <x:f>'Historical_Financials'!J13</x:f>
        <x:v>0.212</x:v>
      </x:c>
      <x:c r="K8" s="28" t="n">
        <x:f>'Historical_Financials'!K13</x:f>
        <x:v>0.212</x:v>
      </x:c>
      <x:c r="L8" s="28" t="n">
        <x:f>'Historical_Financials'!L13</x:f>
        <x:v>0.21200000000000002</x:v>
      </x:c>
    </x:row>
    <x:row r="9">
      <x:c r="A9" t="str">
        <x:v>Net Margin</x:v>
      </x:c>
      <x:c r="B9" s="28" t="n">
        <x:f>'Historical_Financials'!B17</x:f>
        <x:v>0.078</x:v>
      </x:c>
      <x:c r="C9" s="28" t="n">
        <x:f>'Historical_Financials'!C17</x:f>
        <x:v>0.08571428571428572</x:v>
      </x:c>
      <x:c r="D9" s="28" t="n">
        <x:f>'Historical_Financials'!D17</x:f>
        <x:v>0.09765625</x:v>
      </x:c>
      <x:c r="E9" s="28" t="n">
        <x:f>'Historical_Financials'!E17</x:f>
        <x:v>0.10413793103448275</x:v>
      </x:c>
      <x:c r="F9" s="28" t="n">
        <x:f>'Historical_Financials'!F17</x:f>
        <x:v>0.11506024096385542</x:v>
      </x:c>
      <x:c r="G9" s="28" t="n">
        <x:f>'Historical_Financials'!G17</x:f>
        <x:v>0.12263157894736842</x:v>
      </x:c>
      <x:c r="H9" s="28" t="n">
        <x:f>'Historical_Financials'!H17</x:f>
        <x:v>0.129</x:v>
      </x:c>
      <x:c r="I9" s="28" t="n">
        <x:f>'Historical_Financials'!I17</x:f>
        <x:v>0.12899999999999998</x:v>
      </x:c>
      <x:c r="J9" s="28" t="n">
        <x:f>'Historical_Financials'!J17</x:f>
        <x:v>0.12899999999999998</x:v>
      </x:c>
      <x:c r="K9" s="28" t="n">
        <x:f>'Historical_Financials'!K17</x:f>
        <x:v>0.129</x:v>
      </x:c>
      <x:c r="L9" s="28" t="n">
        <x:f>'Historical_Financials'!L17</x:f>
        <x:v>0.129</x:v>
      </x:c>
    </x:row>
    <x:row r="10">
      <x:c r="A10" t="str">
        <x:v>FCF Margin</x:v>
      </x:c>
      <x:c r="B10" s="28" t="n">
        <x:f>'Historical_Financials'!B28</x:f>
        <x:v>0.065</x:v>
      </x:c>
      <x:c r="C10" s="28" t="n">
        <x:f>'Historical_Financials'!C28</x:f>
        <x:v>0.07589285714285714</x:v>
      </x:c>
      <x:c r="D10" s="28" t="n">
        <x:f>'Historical_Financials'!D28</x:f>
        <x:v>0.08359375</x:v>
      </x:c>
      <x:c r="E10" s="28" t="n">
        <x:f>'Historical_Financials'!E28</x:f>
        <x:v>0.09310344827586207</x:v>
      </x:c>
      <x:c r="F10" s="28" t="n">
        <x:f>'Historical_Financials'!F28</x:f>
        <x:v>0.10060240963855421</x:v>
      </x:c>
      <x:c r="G10" s="28" t="n">
        <x:f>'Historical_Financials'!G28</x:f>
        <x:v>0.10947368421052632</x:v>
      </x:c>
      <x:c r="H10" s="28" t="n">
        <x:f>'Historical_Financials'!H28</x:f>
        <x:v>0.11307407407407406</x:v>
      </x:c>
      <x:c r="I10" s="28" t="n">
        <x:f>'Historical_Financials'!I28</x:f>
        <x:v>0.11307407407407405</x:v>
      </x:c>
      <x:c r="J10" s="28" t="n">
        <x:f>'Historical_Financials'!J28</x:f>
        <x:v>0.11307407407407404</x:v>
      </x:c>
      <x:c r="K10" s="28" t="n">
        <x:f>'Historical_Financials'!K28</x:f>
        <x:v>0.11307407407407408</x:v>
      </x:c>
      <x:c r="L10" s="28" t="n">
        <x:f>'Historical_Financials'!L28</x:f>
        <x:v>0.11307407407407406</x:v>
      </x:c>
    </x:row>
    <x:row r="11">
      <x:c r="A11" t="str">
        <x:v>Net Debt / EBITDA</x:v>
      </x:c>
      <x:c r="B11" s="30" t="n">
        <x:f>'Historical_Financials'!B21/'Historical_Financials'!B12</x:f>
        <x:v>1.8666666666666667</x:v>
      </x:c>
      <x:c r="C11" s="30" t="n">
        <x:f>'Historical_Financials'!C21/'Historical_Financials'!C12</x:f>
        <x:v>1.5555555555555556</x:v>
      </x:c>
      <x:c r="D11" s="30" t="n">
        <x:f>'Historical_Financials'!D21/'Historical_Financials'!D12</x:f>
        <x:v>1.2276785714285714</x:v>
      </x:c>
      <x:c r="E11" s="30" t="n">
        <x:f>'Historical_Financials'!E21/'Historical_Financials'!E12</x:f>
        <x:v>0.9888059701492538</x:v>
      </x:c>
      <x:c r="F11" s="30" t="n">
        <x:f>'Historical_Financials'!F21/'Historical_Financials'!F12</x:f>
        <x:v>0.7831325301204819</x:v>
      </x:c>
      <x:c r="G11" s="30" t="n">
        <x:f>'Historical_Financials'!G21/'Historical_Financials'!G12</x:f>
        <x:v>0.6265664160401002</x:v>
      </x:c>
      <x:c r="H11" s="30" t="n">
        <x:f>'Historical_Financials'!H21/'Historical_Financials'!H12</x:f>
        <x:v>0.5746809371436978</x:v>
      </x:c>
      <x:c r="I11" s="30" t="n">
        <x:f>'Historical_Financials'!I21/'Historical_Financials'!I12</x:f>
        <x:v>-0.0012562950975544183</x:v>
      </x:c>
      <x:c r="J11" s="30" t="n">
        <x:f>'Historical_Financials'!J21/'Historical_Financials'!J12</x:f>
        <x:v>-0.5345315101357508</x:v>
      </x:c>
      <x:c r="K11" s="30" t="n">
        <x:f>'Historical_Financials'!K21/'Historical_Financials'!K12</x:f>
        <x:v>-1.02830485739334</x:v>
      </x:c>
      <x:c r="L11" s="30" t="n">
        <x:f>'Historical_Financials'!L21/'Historical_Financials'!L12</x:f>
        <x:v>-1.485502401150367</x:v>
      </x:c>
    </x:row>
    <x:row r="12">
      <x:c r="A12" t="str">
        <x:v>FCF Conversion</x:v>
      </x:c>
      <x:c r="B12" s="28" t="n">
        <x:f>'Historical_Financials'!B27/'Historical_Financials'!B12</x:f>
        <x:v>0.43333333333333335</x:v>
      </x:c>
      <x:c r="C12" s="28" t="n">
        <x:f>'Historical_Financials'!C27/'Historical_Financials'!C12</x:f>
        <x:v>0.4722222222222222</x:v>
      </x:c>
      <x:c r="D12" s="28" t="n">
        <x:f>'Historical_Financials'!D27/'Historical_Financials'!D12</x:f>
        <x:v>0.47767857142857145</x:v>
      </x:c>
      <x:c r="E12" s="28" t="n">
        <x:f>'Historical_Financials'!E27/'Historical_Financials'!E12</x:f>
        <x:v>0.503731343283582</x:v>
      </x:c>
      <x:c r="F12" s="28" t="n">
        <x:f>'Historical_Financials'!F27/'Historical_Financials'!F12</x:f>
        <x:v>0.5030120481927711</x:v>
      </x:c>
      <x:c r="G12" s="28" t="n">
        <x:f>'Historical_Financials'!G27/'Historical_Financials'!G12</x:f>
        <x:v>0.5213032581453634</x:v>
      </x:c>
      <x:c r="H12" s="28" t="n">
        <x:f>'Historical_Financials'!H27/'Historical_Financials'!H12</x:f>
        <x:v>0.5333682739343116</x:v>
      </x:c>
      <x:c r="I12" s="28" t="n">
        <x:f>'Historical_Financials'!I27/'Historical_Financials'!I12</x:f>
        <x:v>0.5333682739343115</x:v>
      </x:c>
      <x:c r="J12" s="28" t="n">
        <x:f>'Historical_Financials'!J27/'Historical_Financials'!J12</x:f>
        <x:v>0.5333682739343115</x:v>
      </x:c>
      <x:c r="K12" s="28" t="n">
        <x:f>'Historical_Financials'!K27/'Historical_Financials'!K12</x:f>
        <x:v>0.5333682739343116</x:v>
      </x:c>
      <x:c r="L12" s="28" t="n">
        <x:f>'Historical_Financials'!L27/'Historical_Financials'!L12</x:f>
        <x:v>0.5333682739343116</x:v>
      </x:c>
    </x:row>
    <x:row r="13">
      <x:c r="A13" t="str">
        <x:v>D&amp;A / Revenue</x:v>
      </x:c>
      <x:c r="B13" s="28" t="n">
        <x:f>'Historical_Financials'!B29/'Historical_Financials'!B8</x:f>
        <x:v>0.04</x:v>
      </x:c>
      <x:c r="C13" s="28" t="n">
        <x:f>'Historical_Financials'!C29/'Historical_Financials'!C8</x:f>
        <x:v>0.04017857142857143</x:v>
      </x:c>
      <x:c r="D13" s="28" t="n">
        <x:f>'Historical_Financials'!D29/'Historical_Financials'!D8</x:f>
        <x:v>0.0390625</x:v>
      </x:c>
      <x:c r="E13" s="28" t="n">
        <x:f>'Historical_Financials'!E29/'Historical_Financials'!E8</x:f>
        <x:v>0.04</x:v>
      </x:c>
      <x:c r="F13" s="28" t="n">
        <x:f>'Historical_Financials'!F29/'Historical_Financials'!F8</x:f>
        <x:v>0.04036144578313253</x:v>
      </x:c>
      <x:c r="G13" s="28" t="n">
        <x:f>'Historical_Financials'!G29/'Historical_Financials'!G8</x:f>
        <x:v>0.04</x:v>
      </x:c>
      <x:c r="H13" s="28" t="n">
        <x:f>'Historical_Financials'!H29/'Historical_Financials'!H8</x:f>
        <x:v>0.04</x:v>
      </x:c>
      <x:c r="I13" s="28" t="n">
        <x:f>'Historical_Financials'!I29/'Historical_Financials'!I8</x:f>
        <x:v>0.04</x:v>
      </x:c>
      <x:c r="J13" s="28" t="n">
        <x:f>'Historical_Financials'!J29/'Historical_Financials'!J8</x:f>
        <x:v>0.04</x:v>
      </x:c>
      <x:c r="K13" s="28" t="n">
        <x:f>'Historical_Financials'!K29/'Historical_Financials'!K8</x:f>
        <x:v>0.04</x:v>
      </x:c>
      <x:c r="L13" s="28" t="n">
        <x:f>'Historical_Financials'!L29/'Historical_Financials'!L8</x:f>
        <x:v>0.04</x:v>
      </x:c>
    </x:row>
    <x:row r="14">
      <x:c r="A14" t="str">
        <x:v>Capex / Revenue</x:v>
      </x:c>
      <x:c r="B14" s="28" t="n">
        <x:f>'Historical_Financials'!B26/'Historical_Financials'!B8</x:f>
        <x:v>0.055</x:v>
      </x:c>
      <x:c r="C14" s="28" t="n">
        <x:f>'Historical_Financials'!C26/'Historical_Financials'!C8</x:f>
        <x:v>0.05357142857142857</x:v>
      </x:c>
      <x:c r="D14" s="28" t="n">
        <x:f>'Historical_Financials'!D26/'Historical_Financials'!D8</x:f>
        <x:v>0.053125</x:v>
      </x:c>
      <x:c r="E14" s="28" t="n">
        <x:f>'Historical_Financials'!E26/'Historical_Financials'!E8</x:f>
        <x:v>0.05310344827586207</x:v>
      </x:c>
      <x:c r="F14" s="28" t="n">
        <x:f>'Historical_Financials'!F26/'Historical_Financials'!F8</x:f>
        <x:v>0.05301204819277108</x:v>
      </x:c>
      <x:c r="G14" s="28" t="n">
        <x:f>'Historical_Financials'!G26/'Historical_Financials'!G8</x:f>
        <x:v>0.05263157894736842</x:v>
      </x:c>
      <x:c r="H14" s="28" t="n">
        <x:f>'Historical_Financials'!H26/'Historical_Financials'!H8</x:f>
        <x:v>0.05</x:v>
      </x:c>
      <x:c r="I14" s="28" t="n">
        <x:f>'Historical_Financials'!I26/'Historical_Financials'!I8</x:f>
        <x:v>0.05</x:v>
      </x:c>
      <x:c r="J14" s="28" t="n">
        <x:f>'Historical_Financials'!J26/'Historical_Financials'!J8</x:f>
        <x:v>0.05</x:v>
      </x:c>
      <x:c r="K14" s="28" t="n">
        <x:f>'Historical_Financials'!K26/'Historical_Financials'!K8</x:f>
        <x:v>0.05</x:v>
      </x:c>
      <x:c r="L14" s="28" t="n">
        <x:f>'Historical_Financials'!L26/'Historical_Financials'!L8</x:f>
        <x:v>0.05</x:v>
      </x:c>
    </x:row>
    <x:row r="16">
      <x:c r="A16" s="39" t="str">
        <x:v>Ratios link to Historical_Financials so updates to reported values or forecast assumptions flow through automatically. Add industry-specific KPIs as new rows if the company has important operating metrics.</x:v>
      </x:c>
      <x:c r="B16" s="39"/>
      <x:c r="C16" s="39"/>
      <x:c r="D16" s="39"/>
      <x:c r="E16" s="39"/>
      <x:c r="F16" s="39"/>
      <x:c r="G16" s="39"/>
      <x:c r="H16" s="39"/>
      <x:c r="I16" s="39"/>
      <x:c r="J16" s="39"/>
      <x:c r="K16" s="39"/>
      <x:c r="L16" s="39"/>
    </x:row>
    <x:row r="17">
      <x:c r="A17" s="39"/>
      <x:c r="B17" s="39"/>
      <x:c r="C17" s="39"/>
      <x:c r="D17" s="39"/>
      <x:c r="E17" s="39"/>
      <x:c r="F17" s="39"/>
      <x:c r="G17" s="39"/>
      <x:c r="H17" s="39"/>
      <x:c r="I17" s="39"/>
      <x:c r="J17" s="39"/>
      <x:c r="K17" s="39"/>
      <x:c r="L17" s="39"/>
    </x:row>
    <x:row r="18">
      <x:c r="A18" s="39"/>
      <x:c r="B18" s="39"/>
      <x:c r="C18" s="39"/>
      <x:c r="D18" s="39"/>
      <x:c r="E18" s="39"/>
      <x:c r="F18" s="39"/>
      <x:c r="G18" s="39"/>
      <x:c r="H18" s="39"/>
      <x:c r="I18" s="39"/>
      <x:c r="J18" s="39"/>
      <x:c r="K18" s="39"/>
      <x:c r="L18" s="39"/>
    </x:row>
  </x:sheetData>
  <x:mergeCells>
    <x:mergeCell ref="A1:L1"/>
    <x:mergeCell ref="A3:L3"/>
    <x:mergeCell ref="A16:L18"/>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15" hidden="0" customWidth="1"/>
    <x:col min="3" max="3" width="15" hidden="0" customWidth="1"/>
    <x:col min="4" max="4" width="15" hidden="0" customWidth="1"/>
    <x:col min="5" max="5" width="15" hidden="0" customWidth="1"/>
    <x:col min="6" max="6" width="15" hidden="0" customWidth="1"/>
    <x:col min="7" max="7" width="18" hidden="0" customWidth="1"/>
    <x:col min="8" max="8" width="24" hidden="0" customWidth="1"/>
  </x:cols>
  <x:sheetData>
    <x:row r="1" ht="30" customHeight="1">
      <x:c r="A1" s="4" t="str">
        <x:v>DCF Valuation</x:v>
      </x:c>
      <x:c r="B1" s="4" t="str">
        <x:v>DCF Valuation</x:v>
      </x:c>
      <x:c r="C1" s="4" t="str">
        <x:v>DCF Valuation</x:v>
      </x:c>
      <x:c r="D1" s="4" t="str">
        <x:v>DCF Valuation</x:v>
      </x:c>
      <x:c r="E1" s="4" t="str">
        <x:v>DCF Valuation</x:v>
      </x:c>
      <x:c r="F1" s="4" t="str">
        <x:v>DCF Valuation</x:v>
      </x:c>
      <x:c r="G1" s="4" t="str">
        <x:v>DCF Valuation</x:v>
      </x:c>
      <x:c r="H1" s="4" t="str">
        <x:v>DCF Valuation</x:v>
      </x:c>
    </x:row>
    <x:row r="3">
      <x:c r="A3" s="14" t="str">
        <x:v>Forecast Free Cash Flow</x:v>
      </x:c>
      <x:c r="B3" s="14" t="str">
        <x:v>Forecast Free Cash Flow</x:v>
      </x:c>
      <x:c r="C3" s="14" t="str">
        <x:v>Forecast Free Cash Flow</x:v>
      </x:c>
      <x:c r="D3" s="14" t="str">
        <x:v>Forecast Free Cash Flow</x:v>
      </x:c>
      <x:c r="E3" s="14" t="str">
        <x:v>Forecast Free Cash Flow</x:v>
      </x:c>
      <x:c r="F3" s="14" t="str">
        <x:v>Forecast Free Cash Flow</x:v>
      </x:c>
    </x:row>
    <x:row r="4">
      <x:c r="A4" s="20" t="str">
        <x:v>Metric</x:v>
      </x:c>
      <x:c r="B4" s="21" t="str">
        <x:f>'Historical_Financials'!H4</x:f>
        <x:v>2026E</x:v>
      </x:c>
      <x:c r="C4" s="21" t="str">
        <x:f>'Historical_Financials'!I4</x:f>
        <x:v>2027E</x:v>
      </x:c>
      <x:c r="D4" s="21" t="str">
        <x:f>'Historical_Financials'!J4</x:f>
        <x:v>2028E</x:v>
      </x:c>
      <x:c r="E4" s="21" t="str">
        <x:f>'Historical_Financials'!K4</x:f>
        <x:v>2029E</x:v>
      </x:c>
      <x:c r="F4" s="22" t="str">
        <x:f>'Historical_Financials'!L4</x:f>
        <x:v>2030E</x:v>
      </x:c>
    </x:row>
    <x:row r="6">
      <x:c r="A6" t="str">
        <x:v>Revenue</x:v>
      </x:c>
      <x:c r="B6" s="99" t="n">
        <x:f>'Historical_Financials'!H8</x:f>
        <x:v>2052</x:v>
      </x:c>
      <x:c r="C6" s="99" t="n">
        <x:f>'Historical_Financials'!I8</x:f>
        <x:v>2216.1600000000003</x:v>
      </x:c>
      <x:c r="D6" s="99" t="n">
        <x:f>'Historical_Financials'!J8</x:f>
        <x:v>2393.4528000000005</x:v>
      </x:c>
      <x:c r="E6" s="99" t="n">
        <x:f>'Historical_Financials'!K8</x:f>
        <x:v>2584.9290240000005</x:v>
      </x:c>
      <x:c r="F6" s="99" t="n">
        <x:f>'Historical_Financials'!L8</x:f>
        <x:v>2791.7233459200006</x:v>
      </x:c>
    </x:row>
    <x:row r="7">
      <x:c r="A7" t="str">
        <x:v>EBITDA</x:v>
      </x:c>
      <x:c r="B7" s="99" t="n">
        <x:f>'Historical_Financials'!H12</x:f>
        <x:v>435.024</x:v>
      </x:c>
      <x:c r="C7" s="99" t="n">
        <x:f>'Historical_Financials'!I12</x:f>
        <x:v>469.82592000000005</x:v>
      </x:c>
      <x:c r="D7" s="99" t="n">
        <x:f>'Historical_Financials'!J12</x:f>
        <x:v>507.4119936000001</x:v>
      </x:c>
      <x:c r="E7" s="99" t="n">
        <x:f>'Historical_Financials'!K12</x:f>
        <x:v>548.0049530880001</x:v>
      </x:c>
      <x:c r="F7" s="99" t="n">
        <x:f>'Historical_Financials'!L12</x:f>
        <x:v>591.8453493350402</x:v>
      </x:c>
    </x:row>
    <x:row r="8">
      <x:c r="A8" t="str">
        <x:v>EBIT</x:v>
      </x:c>
      <x:c r="B8" s="99" t="n">
        <x:f>'Historical_Financials'!H14</x:f>
        <x:v>352.944</x:v>
      </x:c>
      <x:c r="C8" s="99" t="n">
        <x:f>'Historical_Financials'!I14</x:f>
        <x:v>381.17952</x:v>
      </x:c>
      <x:c r="D8" s="99" t="n">
        <x:f>'Historical_Financials'!J14</x:f>
        <x:v>411.6738816000001</x:v>
      </x:c>
      <x:c r="E8" s="99" t="n">
        <x:f>'Historical_Financials'!K14</x:f>
        <x:v>444.6077921280001</x:v>
      </x:c>
      <x:c r="F8" s="99" t="n">
        <x:f>'Historical_Financials'!L14</x:f>
        <x:v>480.17641549824015</x:v>
      </x:c>
    </x:row>
    <x:row r="9">
      <x:c r="A9" t="str">
        <x:v>Tax on EBIT</x:v>
      </x:c>
      <x:c r="B9" s="99" t="n">
        <x:f>B8*'Assumptions'!$B$15</x:f>
        <x:v>88.236</x:v>
      </x:c>
      <x:c r="C9" s="99" t="n">
        <x:f>C8*'Assumptions'!$B$15</x:f>
        <x:v>95.29488</x:v>
      </x:c>
      <x:c r="D9" s="99" t="n">
        <x:f>D8*'Assumptions'!$B$15</x:f>
        <x:v>102.91847040000002</x:v>
      </x:c>
      <x:c r="E9" s="99" t="n">
        <x:f>E8*'Assumptions'!$B$15</x:f>
        <x:v>111.15194803200002</x:v>
      </x:c>
      <x:c r="F9" s="99" t="n">
        <x:f>F8*'Assumptions'!$B$15</x:f>
        <x:v>120.04410387456004</x:v>
      </x:c>
    </x:row>
    <x:row r="10">
      <x:c r="A10" t="str">
        <x:v>NOPAT</x:v>
      </x:c>
      <x:c r="B10" s="99" t="n">
        <x:f>B8-B9</x:f>
        <x:v>264.708</x:v>
      </x:c>
      <x:c r="C10" s="99" t="n">
        <x:f>C8-C9</x:f>
        <x:v>285.88464</x:v>
      </x:c>
      <x:c r="D10" s="99" t="n">
        <x:f>D8-D9</x:f>
        <x:v>308.7554112</x:v>
      </x:c>
      <x:c r="E10" s="99" t="n">
        <x:f>E8-E9</x:f>
        <x:v>333.4558440960001</x:v>
      </x:c>
      <x:c r="F10" s="99" t="n">
        <x:f>F8-F9</x:f>
        <x:v>360.1323116236801</x:v>
      </x:c>
    </x:row>
    <x:row r="11">
      <x:c r="A11" t="str">
        <x:v>D&amp;A</x:v>
      </x:c>
      <x:c r="B11" s="99" t="n">
        <x:f>'Historical_Financials'!H29</x:f>
        <x:v>82.08</x:v>
      </x:c>
      <x:c r="C11" s="99" t="n">
        <x:f>'Historical_Financials'!I29</x:f>
        <x:v>88.64640000000001</x:v>
      </x:c>
      <x:c r="D11" s="99" t="n">
        <x:f>'Historical_Financials'!J29</x:f>
        <x:v>95.73811200000002</x:v>
      </x:c>
      <x:c r="E11" s="99" t="n">
        <x:f>'Historical_Financials'!K29</x:f>
        <x:v>103.39716096000002</x:v>
      </x:c>
      <x:c r="F11" s="99" t="n">
        <x:f>'Historical_Financials'!L29</x:f>
        <x:v>111.66893383680002</x:v>
      </x:c>
    </x:row>
    <x:row r="12">
      <x:c r="A12" t="str">
        <x:v>Capital Expenditure</x:v>
      </x:c>
      <x:c r="B12" s="99" t="n">
        <x:f>'Historical_Financials'!H26</x:f>
        <x:v>102.60000000000001</x:v>
      </x:c>
      <x:c r="C12" s="99" t="n">
        <x:f>'Historical_Financials'!I26</x:f>
        <x:v>110.80800000000002</x:v>
      </x:c>
      <x:c r="D12" s="99" t="n">
        <x:f>'Historical_Financials'!J26</x:f>
        <x:v>119.67264000000003</x:v>
      </x:c>
      <x:c r="E12" s="99" t="n">
        <x:f>'Historical_Financials'!K26</x:f>
        <x:v>129.24645120000002</x:v>
      </x:c>
      <x:c r="F12" s="99" t="n">
        <x:f>'Historical_Financials'!L26</x:f>
        <x:v>139.58616729600004</x:v>
      </x:c>
    </x:row>
    <x:row r="13">
      <x:c r="A13" t="str">
        <x:v>Change in NWC</x:v>
      </x:c>
      <x:c r="B13" s="99" t="n">
        <x:f>(B6-'Historical_Financials'!G8)*'Assumptions'!$B$23</x:f>
        <x:v>12.16</x:v>
      </x:c>
      <x:c r="C13" s="99" t="n">
        <x:f>(C6-B6)*'Assumptions'!$B$23</x:f>
        <x:v>13.132800000000024</x:v>
      </x:c>
      <x:c r="D13" s="99" t="n">
        <x:f>(D6-C6)*'Assumptions'!$B$23</x:f>
        <x:v>14.183424000000015</x:v>
      </x:c>
      <x:c r="E13" s="99" t="n">
        <x:f>(E6-D6)*'Assumptions'!$B$23</x:f>
        <x:v>15.31809792</x:v>
      </x:c>
      <x:c r="F13" s="99" t="n">
        <x:f>(F6-E6)*'Assumptions'!$B$23</x:f>
        <x:v>16.54354575360001</x:v>
      </x:c>
    </x:row>
    <x:row r="14">
      <x:c r="A14" s="96" t="str">
        <x:v>Unlevered FCF</x:v>
      </x:c>
      <x:c r="B14" s="98" t="n">
        <x:f>B10+B11-B12-B13</x:f>
        <x:v>232.028</x:v>
      </x:c>
      <x:c r="C14" s="98" t="n">
        <x:f>C10+C11-C12-C13</x:f>
        <x:v>250.59023999999994</x:v>
      </x:c>
      <x:c r="D14" s="98" t="n">
        <x:f>D10+D11-D12-D13</x:f>
        <x:v>270.6374592</x:v>
      </x:c>
      <x:c r="E14" s="98" t="n">
        <x:f>E10+E11-E12-E13</x:f>
        <x:v>292.28845593600005</x:v>
      </x:c>
      <x:c r="F14" s="98" t="n">
        <x:f>F10+F11-F12-F13</x:f>
        <x:v>315.67153241088005</x:v>
      </x:c>
    </x:row>
    <x:row r="15">
      <x:c r="A15" t="str">
        <x:v>Discount Factor</x:v>
      </x:c>
      <x:c r="B15" s="128" t="n">
        <x:f>1/(1+'Assumptions'!$B$16)^1</x:f>
        <x:v>0.9174311926605504</x:v>
      </x:c>
      <x:c r="C15" s="128" t="n">
        <x:f>1/(1+'Assumptions'!$B$16)^2</x:f>
        <x:v>0.84167999326656</x:v>
      </x:c>
      <x:c r="D15" s="128" t="n">
        <x:f>1/(1+'Assumptions'!$B$16)^3</x:f>
        <x:v>0.7721834800610642</x:v>
      </x:c>
      <x:c r="E15" s="128" t="n">
        <x:f>1/(1+'Assumptions'!$B$16)^4</x:f>
        <x:v>0.7084252110651963</x:v>
      </x:c>
      <x:c r="F15" s="128" t="n">
        <x:f>1/(1+'Assumptions'!$B$16)^5</x:f>
        <x:v>0.6499313862983452</x:v>
      </x:c>
    </x:row>
    <x:row r="16">
      <x:c r="A16" s="96" t="str">
        <x:v>PV of FCF</x:v>
      </x:c>
      <x:c r="B16" s="98" t="n">
        <x:f>B14*B15</x:f>
        <x:v>212.8697247706422</x:v>
      </x:c>
      <x:c r="C16" s="98" t="n">
        <x:f>C14*C15</x:f>
        <x:v>210.91679151586558</x:v>
      </x:c>
      <x:c r="D16" s="98" t="n">
        <x:f>D14*D15</x:f>
        <x:v>208.9817750799403</x:v>
      </x:c>
      <x:c r="E16" s="98" t="n">
        <x:f>E14*E15</x:f>
        <x:v>207.06451108838115</x:v>
      </x:c>
      <x:c r="F16" s="98" t="n">
        <x:f>F14*F15</x:f>
        <x:v>205.1648366747263</x:v>
      </x:c>
    </x:row>
    <x:row r="19">
      <x:c r="A19" s="14" t="str">
        <x:v>Enterprise Value Bridge</x:v>
      </x:c>
      <x:c r="B19" s="14" t="str">
        <x:v>Enterprise Value Bridge</x:v>
      </x:c>
      <x:c r="C19" s="14" t="str">
        <x:v>Enterprise Value Bridge</x:v>
      </x:c>
      <x:c r="D19" s="14" t="str">
        <x:v>Enterprise Value Bridge</x:v>
      </x:c>
      <x:c r="E19" s="14" t="str">
        <x:v>Enterprise Value Bridge</x:v>
      </x:c>
      <x:c r="F19" s="14" t="str">
        <x:v>Enterprise Value Bridge</x:v>
      </x:c>
      <x:c r="G19" s="14" t="str">
        <x:v>Enterprise Value Bridge</x:v>
      </x:c>
      <x:c r="H19" s="14" t="str">
        <x:v>Enterprise Value Bridge</x:v>
      </x:c>
    </x:row>
    <x:row r="20">
      <x:c r="A20" s="20" t="str">
        <x:v>Metric</x:v>
      </x:c>
      <x:c r="B20" s="21" t="str">
        <x:v>Value</x:v>
      </x:c>
      <x:c r="C20" s="21" t="str">
        <x:v>Format</x:v>
      </x:c>
      <x:c r="D20" s="22" t="str">
        <x:v>Source / Formula</x:v>
      </x:c>
      <x:c r="E20"/>
      <x:c r="F20"/>
      <x:c r="G20"/>
      <x:c r="H20"/>
    </x:row>
    <x:row r="21">
      <x:c r="A21" t="str">
        <x:v>Terminal EBITDA</x:v>
      </x:c>
      <x:c r="B21" s="99" t="n">
        <x:f>F7</x:f>
        <x:v>591.8453493350402</x:v>
      </x:c>
      <x:c r="C21" t="str">
        <x:v>$mm</x:v>
      </x:c>
      <x:c r="D21" t="str">
        <x:v>Final forecast EBITDA</x:v>
      </x:c>
      <x:c r="E21"/>
      <x:c r="F21" s="39" t="str">
        <x:v>DCF caveat: this template uses simplified operating drivers because no company-specific disclosures were provided. Replace placeholders with actual data, expand working capital/debt schedules as needed, and cite sources before using for investment decisions.</x:v>
      </x:c>
      <x:c r="G21" s="39"/>
      <x:c r="H21" s="39"/>
    </x:row>
    <x:row r="22">
      <x:c r="A22" t="str">
        <x:v>Exit Multiple Terminal Value</x:v>
      </x:c>
      <x:c r="B22" s="99" t="n">
        <x:f>B21*'Assumptions'!$B$18</x:f>
        <x:v>7102.144192020482</x:v>
      </x:c>
      <x:c r="C22" t="str">
        <x:v>$mm</x:v>
      </x:c>
      <x:c r="D22" t="str">
        <x:v>Terminal EBITDA x exit multiple</x:v>
      </x:c>
      <x:c r="E22"/>
      <x:c r="F22" s="39"/>
      <x:c r="G22" s="39"/>
      <x:c r="H22" s="39"/>
    </x:row>
    <x:row r="23">
      <x:c r="A23" t="str">
        <x:v>Gordon Growth Terminal Value</x:v>
      </x:c>
      <x:c r="B23" s="99" t="n">
        <x:f>IF('Assumptions'!$B$16&lt;='Assumptions'!$B$17,NA(),F14*(1+'Assumptions'!$B$17)/('Assumptions'!$B$16-'Assumptions'!$B$17))</x:f>
        <x:v>5419.027973053441</x:v>
      </x:c>
      <x:c r="C23" t="str">
        <x:v>$mm</x:v>
      </x:c>
      <x:c r="D23" t="str">
        <x:v>Final FCF x (1+g) / (WACC-g)</x:v>
      </x:c>
      <x:c r="E23"/>
      <x:c r="F23" s="39"/>
      <x:c r="G23" s="39"/>
      <x:c r="H23" s="39"/>
    </x:row>
    <x:row r="24">
      <x:c r="A24" t="str">
        <x:v>Selected Terminal Value</x:v>
      </x:c>
      <x:c r="B24" s="99" t="n">
        <x:f>IF('Assumptions'!$B$24="Exit Multiple",B22,B23)</x:f>
        <x:v>5419.027973053441</x:v>
      </x:c>
      <x:c r="C24" t="str">
        <x:v>$mm</x:v>
      </x:c>
      <x:c r="D24" t="str">
        <x:v>Based on Terminal Method assumption</x:v>
      </x:c>
      <x:c r="E24"/>
      <x:c r="F24" s="39"/>
      <x:c r="G24" s="39"/>
      <x:c r="H24" s="39"/>
    </x:row>
    <x:row r="25">
      <x:c r="A25" t="str">
        <x:v>PV of Terminal Value</x:v>
      </x:c>
      <x:c r="B25" s="99" t="n">
        <x:f>B24*F15</x:f>
        <x:v>3521.996362916135</x:v>
      </x:c>
      <x:c r="C25" t="str">
        <x:v>$mm</x:v>
      </x:c>
      <x:c r="D25" t="str">
        <x:v>Terminal value discounted to valuation date</x:v>
      </x:c>
      <x:c r="E25"/>
      <x:c r="F25" s="39"/>
      <x:c r="G25" s="39"/>
      <x:c r="H25" s="39"/>
    </x:row>
    <x:row r="26">
      <x:c r="A26" t="str">
        <x:v>PV of Forecast FCF</x:v>
      </x:c>
      <x:c r="B26" s="99" t="n">
        <x:f>SUM(B16:F16)</x:f>
        <x:v>1044.9976391295554</x:v>
      </x:c>
      <x:c r="C26" t="str">
        <x:v>$mm</x:v>
      </x:c>
      <x:c r="D26" t="str">
        <x:v>Sum of forecast PVs</x:v>
      </x:c>
      <x:c r="E26"/>
      <x:c r="F26" s="39"/>
      <x:c r="G26" s="39"/>
      <x:c r="H26" s="39"/>
    </x:row>
    <x:row r="27">
      <x:c r="A27" s="96" t="str">
        <x:v>Enterprise Value</x:v>
      </x:c>
      <x:c r="B27" s="98" t="n">
        <x:f>B25+B26</x:f>
        <x:v>4566.994002045691</x:v>
      </x:c>
      <x:c r="C27" s="96" t="str">
        <x:v>$mm</x:v>
      </x:c>
      <x:c r="D27" s="96" t="str">
        <x:v>PV FCF + PV Terminal Value</x:v>
      </x:c>
      <x:c r="E27"/>
      <x:c r="F27" s="39"/>
      <x:c r="G27" s="39"/>
      <x:c r="H27" s="39"/>
    </x:row>
    <x:row r="28">
      <x:c r="A28" t="str">
        <x:v>Less: Net Debt</x:v>
      </x:c>
      <x:c r="B28" s="99" t="n">
        <x:f>'Assumptions'!$B$14-'Assumptions'!$B$13</x:f>
        <x:v>250</x:v>
      </x:c>
      <x:c r="C28" t="str">
        <x:v>$mm</x:v>
      </x:c>
      <x:c r="D28" t="str">
        <x:v>Debt minus cash</x:v>
      </x:c>
      <x:c r="E28"/>
      <x:c r="F28" s="39"/>
      <x:c r="G28" s="39"/>
      <x:c r="H28" s="39"/>
    </x:row>
    <x:row r="29">
      <x:c r="A29" s="96" t="str">
        <x:v>Equity Value</x:v>
      </x:c>
      <x:c r="B29" s="98" t="n">
        <x:f>B27-B28</x:f>
        <x:v>4316.994002045691</x:v>
      </x:c>
      <x:c r="C29" s="96" t="str">
        <x:v>$mm</x:v>
      </x:c>
      <x:c r="D29" s="96" t="str">
        <x:v>Enterprise value minus net debt</x:v>
      </x:c>
      <x:c r="E29"/>
      <x:c r="F29" s="39"/>
      <x:c r="G29" s="39"/>
      <x:c r="H29" s="39"/>
    </x:row>
    <x:row r="30">
      <x:c r="A30" t="str">
        <x:v>Diluted Shares</x:v>
      </x:c>
      <x:c r="B30" s="100" t="n">
        <x:f>'Assumptions'!$B$12</x:f>
        <x:v>100</x:v>
      </x:c>
      <x:c r="C30" t="str">
        <x:v>mm</x:v>
      </x:c>
      <x:c r="D30" t="str">
        <x:v>Assumptions</x:v>
      </x:c>
      <x:c r="E30"/>
      <x:c r="F30"/>
      <x:c r="G30"/>
      <x:c r="H30"/>
    </x:row>
    <x:row r="31">
      <x:c r="A31" s="96" t="str">
        <x:v>Implied Share Price</x:v>
      </x:c>
      <x:c r="B31" s="133" t="n">
        <x:f>B29/B30</x:f>
        <x:v>43.169940020456906</x:v>
      </x:c>
      <x:c r="C31" s="96" t="str">
        <x:v>$ / share</x:v>
      </x:c>
      <x:c r="D31" s="96" t="str">
        <x:v>Equity value / shares</x:v>
      </x:c>
      <x:c r="E31"/>
      <x:c r="F31"/>
      <x:c r="G31"/>
      <x:c r="H31"/>
    </x:row>
    <x:row r="32">
      <x:c r="A32" t="str">
        <x:v>Current Share Price</x:v>
      </x:c>
      <x:c r="B32" s="102" t="n">
        <x:f>'Assumptions'!$B$11</x:f>
        <x:v>100</x:v>
      </x:c>
      <x:c r="C32" t="str">
        <x:v>$ / share</x:v>
      </x:c>
      <x:c r="D32" t="str">
        <x:v>Assumptions</x:v>
      </x:c>
      <x:c r="E32"/>
      <x:c r="F32"/>
      <x:c r="G32"/>
      <x:c r="H32"/>
    </x:row>
    <x:row r="33">
      <x:c r="A33" t="str">
        <x:v>Upside / Downside</x:v>
      </x:c>
      <x:c r="B33" s="70" t="n">
        <x:f>B31/B32-1</x:f>
        <x:v>-0.5683005997954309</x:v>
      </x:c>
      <x:c r="C33" t="str">
        <x:v>%</x:v>
      </x:c>
      <x:c r="D33" t="str">
        <x:v>Implied / current - 1</x:v>
      </x:c>
      <x:c r="E33"/>
      <x:c r="F33"/>
      <x:c r="G33"/>
      <x:c r="H33"/>
    </x:row>
    <x:row r="34">
      <x:c r="A34" t="str">
        <x:v>Implied EV / EBITDA</x:v>
      </x:c>
      <x:c r="B34" s="71" t="n">
        <x:f>B27/B21</x:f>
        <x:v>7.716532717840691</x:v>
      </x:c>
      <x:c r="C34" t="str">
        <x:v>x</x:v>
      </x:c>
      <x:c r="D34" t="str">
        <x:v>Enterprise value / final EBITDA</x:v>
      </x:c>
      <x:c r="E34"/>
      <x:c r="F34"/>
      <x:c r="G34"/>
      <x:c r="H34"/>
    </x:row>
    <x:row r="35">
      <x:c r="A35" t="str">
        <x:v>Implied EV / Revenue</x:v>
      </x:c>
      <x:c r="B35" s="71" t="n">
        <x:f>B27/F6</x:f>
        <x:v>1.6359049361822267</x:v>
      </x:c>
      <x:c r="C35" t="str">
        <x:v>x</x:v>
      </x:c>
      <x:c r="D35" t="str">
        <x:v>Enterprise value / final revenue</x:v>
      </x:c>
      <x:c r="E35"/>
      <x:c r="F35"/>
      <x:c r="G35"/>
      <x:c r="H35"/>
    </x:row>
  </x:sheetData>
  <x:mergeCells>
    <x:mergeCell ref="A1:H1"/>
    <x:mergeCell ref="A3:F3"/>
    <x:mergeCell ref="A19:H19"/>
    <x:mergeCell ref="F21:H29"/>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8" hidden="0" customWidth="1"/>
  </x:cols>
  <x:sheetData>
    <x:row r="1" ht="30" customHeight="1">
      <x:c r="A1" s="4" t="str">
        <x:v>Sensitivity Analysis</x:v>
      </x:c>
      <x:c r="B1" s="4" t="str">
        <x:v>Sensitivity Analysis</x:v>
      </x:c>
      <x:c r="C1" s="4" t="str">
        <x:v>Sensitivity Analysis</x:v>
      </x:c>
      <x:c r="D1" s="4" t="str">
        <x:v>Sensitivity Analysis</x:v>
      </x:c>
      <x:c r="E1" s="4" t="str">
        <x:v>Sensitivity Analysis</x:v>
      </x:c>
      <x:c r="F1" s="4" t="str">
        <x:v>Sensitivity Analysis</x:v>
      </x:c>
      <x:c r="G1" s="4" t="str">
        <x:v>Sensitivity Analysis</x:v>
      </x:c>
      <x:c r="H1" s="4" t="str">
        <x:v>Sensitivity Analysis</x:v>
      </x:c>
    </x:row>
    <x:row r="3">
      <x:c r="A3" s="14" t="str">
        <x:v>Implied Share Price: WACC vs Terminal Growth</x:v>
      </x:c>
      <x:c r="B3" s="14" t="str">
        <x:v>Implied Share Price: WACC vs Terminal Growth</x:v>
      </x:c>
      <x:c r="C3" s="14" t="str">
        <x:v>Implied Share Price: WACC vs Terminal Growth</x:v>
      </x:c>
      <x:c r="D3" s="14" t="str">
        <x:v>Implied Share Price: WACC vs Terminal Growth</x:v>
      </x:c>
      <x:c r="E3" s="14" t="str">
        <x:v>Implied Share Price: WACC vs Terminal Growth</x:v>
      </x:c>
      <x:c r="F3" s="14" t="str">
        <x:v>Implied Share Price: WACC vs Terminal Growth</x:v>
      </x:c>
    </x:row>
    <x:row r="4">
      <x:c r="A4" s="20" t="str">
        <x:v>WACC \ TGR</x:v>
      </x:c>
      <x:c r="B4" s="143" t="n">
        <x:v>0.01</x:v>
      </x:c>
      <x:c r="C4" s="143" t="n">
        <x:v>0.02</x:v>
      </x:c>
      <x:c r="D4" s="143" t="n">
        <x:v>0.03</x:v>
      </x:c>
      <x:c r="E4" s="143" t="n">
        <x:v>0.04</x:v>
      </x:c>
      <x:c r="F4" s="144" t="n">
        <x:v>0.05</x:v>
      </x:c>
    </x:row>
    <x:row r="5">
      <x:c r="A5" s="140" t="n">
        <x:v>0.07</x:v>
      </x:c>
      <x:c r="B5" s="102" t="n">
        <x:f>IF($A5&lt;=B$4,NA(),(('Valuation_DCF'!$B$14/(1+$A5)^1+'Valuation_DCF'!$C$14/(1+$A5)^2+'Valuation_DCF'!$D$14/(1+$A5)^3+'Valuation_DCF'!$E$14/(1+$A5)^4+'Valuation_DCF'!$F$14/(1+$A5)^5)+(('Valuation_DCF'!$F$14*(1+B$4)/($A5-B$4))/(1+$A5)^5)-'Valuation_DCF'!$B$28)/'Valuation_DCF'!$B$30)</x:f>
        <x:v>46.43368409862644</x:v>
      </x:c>
      <x:c r="C5" s="102" t="n">
        <x:f>IF($A5&lt;=C$4,NA(),(('Valuation_DCF'!$B$14/(1+$A5)^1+'Valuation_DCF'!$C$14/(1+$A5)^2+'Valuation_DCF'!$D$14/(1+$A5)^3+'Valuation_DCF'!$E$14/(1+$A5)^4+'Valuation_DCF'!$F$14/(1+$A5)^5)+(('Valuation_DCF'!$F$14*(1+C$4)/($A5-C$4))/(1+$A5)^5)-'Valuation_DCF'!$B$28)/'Valuation_DCF'!$B$30)</x:f>
        <x:v>54.461160787158626</x:v>
      </x:c>
      <x:c r="D5" s="102" t="n">
        <x:f>IF($A5&lt;=D$4,NA(),(('Valuation_DCF'!$B$14/(1+$A5)^1+'Valuation_DCF'!$C$14/(1+$A5)^2+'Valuation_DCF'!$D$14/(1+$A5)^3+'Valuation_DCF'!$E$14/(1+$A5)^4+'Valuation_DCF'!$F$14/(1+$A5)^5)+(('Valuation_DCF'!$F$14*(1+D$4)/($A5-D$4))/(1+$A5)^5)-'Valuation_DCF'!$B$28)/'Valuation_DCF'!$B$30)</x:f>
        <x:v>66.50237581995688</x:v>
      </x:c>
      <x:c r="E5" s="102" t="n">
        <x:f>IF($A5&lt;=E$4,NA(),(('Valuation_DCF'!$B$14/(1+$A5)^1+'Valuation_DCF'!$C$14/(1+$A5)^2+'Valuation_DCF'!$D$14/(1+$A5)^3+'Valuation_DCF'!$E$14/(1+$A5)^4+'Valuation_DCF'!$F$14/(1+$A5)^5)+(('Valuation_DCF'!$F$14*(1+E$4)/($A5-E$4))/(1+$A5)^5)-'Valuation_DCF'!$B$28)/'Valuation_DCF'!$B$30)</x:f>
        <x:v>86.57106754128736</x:v>
      </x:c>
      <x:c r="F5" s="102" t="n">
        <x:f>IF($A5&lt;=F$4,NA(),(('Valuation_DCF'!$B$14/(1+$A5)^1+'Valuation_DCF'!$C$14/(1+$A5)^2+'Valuation_DCF'!$D$14/(1+$A5)^3+'Valuation_DCF'!$E$14/(1+$A5)^4+'Valuation_DCF'!$F$14/(1+$A5)^5)+(('Valuation_DCF'!$F$14*(1+F$4)/($A5-F$4))/(1+$A5)^5)-'Valuation_DCF'!$B$28)/'Valuation_DCF'!$B$30)</x:f>
        <x:v>126.70845098394825</x:v>
      </x:c>
    </x:row>
    <x:row r="6">
      <x:c r="A6" s="141" t="n">
        <x:v>0.08</x:v>
      </x:c>
      <x:c r="B6" s="102" t="n">
        <x:f>IF($A6&lt;=B$4,NA(),(('Valuation_DCF'!$B$14/(1+$A6)^1+'Valuation_DCF'!$C$14/(1+$A6)^2+'Valuation_DCF'!$D$14/(1+$A6)^3+'Valuation_DCF'!$E$14/(1+$A6)^4+'Valuation_DCF'!$F$14/(1+$A6)^5)+(('Valuation_DCF'!$F$14*(1+B$4)/($A6-B$4))/(1+$A6)^5)-'Valuation_DCF'!$B$28)/'Valuation_DCF'!$B$30)</x:f>
        <x:v>39.24048677248677</x:v>
      </x:c>
      <x:c r="C6" s="102" t="n">
        <x:f>IF($A6&lt;=C$4,NA(),(('Valuation_DCF'!$B$14/(1+$A6)^1+'Valuation_DCF'!$C$14/(1+$A6)^2+'Valuation_DCF'!$D$14/(1+$A6)^3+'Valuation_DCF'!$E$14/(1+$A6)^4+'Valuation_DCF'!$F$14/(1+$A6)^5)+(('Valuation_DCF'!$F$14*(1+C$4)/($A6-C$4))/(1+$A6)^5)-'Valuation_DCF'!$B$28)/'Valuation_DCF'!$B$30)</x:f>
        <x:v>44.764962962962954</x:v>
      </x:c>
      <x:c r="D6" s="102" t="n">
        <x:f>IF($A6&lt;=D$4,NA(),(('Valuation_DCF'!$B$14/(1+$A6)^1+'Valuation_DCF'!$C$14/(1+$A6)^2+'Valuation_DCF'!$D$14/(1+$A6)^3+'Valuation_DCF'!$E$14/(1+$A6)^4+'Valuation_DCF'!$F$14/(1+$A6)^5)+(('Valuation_DCF'!$F$14*(1+D$4)/($A6-D$4))/(1+$A6)^5)-'Valuation_DCF'!$B$28)/'Valuation_DCF'!$B$30)</x:f>
        <x:v>52.49922962962962</x:v>
      </x:c>
      <x:c r="E6" s="102" t="n">
        <x:f>IF($A6&lt;=E$4,NA(),(('Valuation_DCF'!$B$14/(1+$A6)^1+'Valuation_DCF'!$C$14/(1+$A6)^2+'Valuation_DCF'!$D$14/(1+$A6)^3+'Valuation_DCF'!$E$14/(1+$A6)^4+'Valuation_DCF'!$F$14/(1+$A6)^5)+(('Valuation_DCF'!$F$14*(1+E$4)/($A6-E$4))/(1+$A6)^5)-'Valuation_DCF'!$B$28)/'Valuation_DCF'!$B$30)</x:f>
        <x:v>64.10062962962962</x:v>
      </x:c>
      <x:c r="F6" s="102" t="n">
        <x:f>IF($A6&lt;=F$4,NA(),(('Valuation_DCF'!$B$14/(1+$A6)^1+'Valuation_DCF'!$C$14/(1+$A6)^2+'Valuation_DCF'!$D$14/(1+$A6)^3+'Valuation_DCF'!$E$14/(1+$A6)^4+'Valuation_DCF'!$F$14/(1+$A6)^5)+(('Valuation_DCF'!$F$14*(1+F$4)/($A6-F$4))/(1+$A6)^5)-'Valuation_DCF'!$B$28)/'Valuation_DCF'!$B$30)</x:f>
        <x:v>83.43629629629629</x:v>
      </x:c>
    </x:row>
    <x:row r="7">
      <x:c r="A7" s="141" t="n">
        <x:v>0.09</x:v>
      </x:c>
      <x:c r="B7" s="102" t="n">
        <x:f>IF($A7&lt;=B$4,NA(),(('Valuation_DCF'!$B$14/(1+$A7)^1+'Valuation_DCF'!$C$14/(1+$A7)^2+'Valuation_DCF'!$D$14/(1+$A7)^3+'Valuation_DCF'!$E$14/(1+$A7)^4+'Valuation_DCF'!$F$14/(1+$A7)^5)+(('Valuation_DCF'!$F$14*(1+B$4)/($A7-B$4))/(1+$A7)^5)-'Valuation_DCF'!$B$28)/'Valuation_DCF'!$B$30)</x:f>
        <x:v>33.85203702147975</x:v>
      </x:c>
      <x:c r="C7" s="102" t="n">
        <x:f>IF($A7&lt;=C$4,NA(),(('Valuation_DCF'!$B$14/(1+$A7)^1+'Valuation_DCF'!$C$14/(1+$A7)^2+'Valuation_DCF'!$D$14/(1+$A7)^3+'Valuation_DCF'!$E$14/(1+$A7)^4+'Valuation_DCF'!$F$14/(1+$A7)^5)+(('Valuation_DCF'!$F$14*(1+C$4)/($A7-C$4))/(1+$A7)^5)-'Valuation_DCF'!$B$28)/'Valuation_DCF'!$B$30)</x:f>
        <x:v>37.84542402104139</x:v>
      </x:c>
      <x:c r="D7" s="102" t="n">
        <x:f>IF($A7&lt;=D$4,NA(),(('Valuation_DCF'!$B$14/(1+$A7)^1+'Valuation_DCF'!$C$14/(1+$A7)^2+'Valuation_DCF'!$D$14/(1+$A7)^3+'Valuation_DCF'!$E$14/(1+$A7)^4+'Valuation_DCF'!$F$14/(1+$A7)^5)+(('Valuation_DCF'!$F$14*(1+D$4)/($A7-D$4))/(1+$A7)^5)-'Valuation_DCF'!$B$28)/'Valuation_DCF'!$B$30)</x:f>
        <x:v>43.169940020456906</x:v>
      </x:c>
      <x:c r="E7" s="102" t="n">
        <x:f>IF($A7&lt;=E$4,NA(),(('Valuation_DCF'!$B$14/(1+$A7)^1+'Valuation_DCF'!$C$14/(1+$A7)^2+'Valuation_DCF'!$D$14/(1+$A7)^3+'Valuation_DCF'!$E$14/(1+$A7)^4+'Valuation_DCF'!$F$14/(1+$A7)^5)+(('Valuation_DCF'!$F$14*(1+E$4)/($A7-E$4))/(1+$A7)^5)-'Valuation_DCF'!$B$28)/'Valuation_DCF'!$B$30)</x:f>
        <x:v>50.62426241963863</x:v>
      </x:c>
      <x:c r="F7" s="102" t="n">
        <x:f>IF($A7&lt;=F$4,NA(),(('Valuation_DCF'!$B$14/(1+$A7)^1+'Valuation_DCF'!$C$14/(1+$A7)^2+'Valuation_DCF'!$D$14/(1+$A7)^3+'Valuation_DCF'!$E$14/(1+$A7)^4+'Valuation_DCF'!$F$14/(1+$A7)^5)+(('Valuation_DCF'!$F$14*(1+F$4)/($A7-F$4))/(1+$A7)^5)-'Valuation_DCF'!$B$28)/'Valuation_DCF'!$B$30)</x:f>
        <x:v>61.80574601841123</x:v>
      </x:c>
    </x:row>
    <x:row r="8">
      <x:c r="A8" s="141" t="n">
        <x:v>0.1</x:v>
      </x:c>
      <x:c r="B8" s="102" t="n">
        <x:f>IF($A8&lt;=B$4,NA(),(('Valuation_DCF'!$B$14/(1+$A8)^1+'Valuation_DCF'!$C$14/(1+$A8)^2+'Valuation_DCF'!$D$14/(1+$A8)^3+'Valuation_DCF'!$E$14/(1+$A8)^4+'Valuation_DCF'!$F$14/(1+$A8)^5)+(('Valuation_DCF'!$F$14*(1+B$4)/($A8-B$4))/(1+$A8)^5)-'Valuation_DCF'!$B$28)/'Valuation_DCF'!$B$30)</x:f>
        <x:v>29.666481734089192</x:v>
      </x:c>
      <x:c r="C8" s="102" t="n">
        <x:f>IF($A8&lt;=C$4,NA(),(('Valuation_DCF'!$B$14/(1+$A8)^1+'Valuation_DCF'!$C$14/(1+$A8)^2+'Valuation_DCF'!$D$14/(1+$A8)^3+'Valuation_DCF'!$E$14/(1+$A8)^4+'Valuation_DCF'!$F$14/(1+$A8)^5)+(('Valuation_DCF'!$F$14*(1+C$4)/($A8-C$4))/(1+$A8)^5)-'Valuation_DCF'!$B$28)/'Valuation_DCF'!$B$30)</x:f>
        <x:v>32.661035957871725</x:v>
      </x:c>
      <x:c r="D8" s="102" t="n">
        <x:f>IF($A8&lt;=D$4,NA(),(('Valuation_DCF'!$B$14/(1+$A8)^1+'Valuation_DCF'!$C$14/(1+$A8)^2+'Valuation_DCF'!$D$14/(1+$A8)^3+'Valuation_DCF'!$E$14/(1+$A8)^4+'Valuation_DCF'!$F$14/(1+$A8)^5)+(('Valuation_DCF'!$F$14*(1+D$4)/($A8-D$4))/(1+$A8)^5)-'Valuation_DCF'!$B$28)/'Valuation_DCF'!$B$30)</x:f>
        <x:v>36.51117710273497</x:v>
      </x:c>
      <x:c r="E8" s="102" t="n">
        <x:f>IF($A8&lt;=E$4,NA(),(('Valuation_DCF'!$B$14/(1+$A8)^1+'Valuation_DCF'!$C$14/(1+$A8)^2+'Valuation_DCF'!$D$14/(1+$A8)^3+'Valuation_DCF'!$E$14/(1+$A8)^4+'Valuation_DCF'!$F$14/(1+$A8)^5)+(('Valuation_DCF'!$F$14*(1+E$4)/($A8-E$4))/(1+$A8)^5)-'Valuation_DCF'!$B$28)/'Valuation_DCF'!$B$30)</x:f>
        <x:v>41.64469862921931</x:v>
      </x:c>
      <x:c r="F8" s="102" t="n">
        <x:f>IF($A8&lt;=F$4,NA(),(('Valuation_DCF'!$B$14/(1+$A8)^1+'Valuation_DCF'!$C$14/(1+$A8)^2+'Valuation_DCF'!$D$14/(1+$A8)^3+'Valuation_DCF'!$E$14/(1+$A8)^4+'Valuation_DCF'!$F$14/(1+$A8)^5)+(('Valuation_DCF'!$F$14*(1+F$4)/($A8-F$4))/(1+$A8)^5)-'Valuation_DCF'!$B$28)/'Valuation_DCF'!$B$30)</x:f>
        <x:v>48.83162876629737</x:v>
      </x:c>
    </x:row>
    <x:row r="9">
      <x:c r="A9" s="141" t="n">
        <x:v>0.11</x:v>
      </x:c>
      <x:c r="B9" s="102" t="n">
        <x:f>IF($A9&lt;=B$4,NA(),(('Valuation_DCF'!$B$14/(1+$A9)^1+'Valuation_DCF'!$C$14/(1+$A9)^2+'Valuation_DCF'!$D$14/(1+$A9)^3+'Valuation_DCF'!$E$14/(1+$A9)^4+'Valuation_DCF'!$F$14/(1+$A9)^5)+(('Valuation_DCF'!$F$14*(1+B$4)/($A9-B$4))/(1+$A9)^5)-'Valuation_DCF'!$B$28)/'Valuation_DCF'!$B$30)</x:f>
        <x:v>26.322722920531717</x:v>
      </x:c>
      <x:c r="C9" s="102" t="n">
        <x:f>IF($A9&lt;=C$4,NA(),(('Valuation_DCF'!$B$14/(1+$A9)^1+'Valuation_DCF'!$C$14/(1+$A9)^2+'Valuation_DCF'!$D$14/(1+$A9)^3+'Valuation_DCF'!$E$14/(1+$A9)^4+'Valuation_DCF'!$F$14/(1+$A9)^5)+(('Valuation_DCF'!$F$14*(1+C$4)/($A9-C$4))/(1+$A9)^5)-'Valuation_DCF'!$B$28)/'Valuation_DCF'!$B$30)</x:f>
        <x:v>28.633196432252433</x:v>
      </x:c>
      <x:c r="D9" s="102" t="n">
        <x:f>IF($A9&lt;=D$4,NA(),(('Valuation_DCF'!$B$14/(1+$A9)^1+'Valuation_DCF'!$C$14/(1+$A9)^2+'Valuation_DCF'!$D$14/(1+$A9)^3+'Valuation_DCF'!$E$14/(1+$A9)^4+'Valuation_DCF'!$F$14/(1+$A9)^5)+(('Valuation_DCF'!$F$14*(1+D$4)/($A9-D$4))/(1+$A9)^5)-'Valuation_DCF'!$B$28)/'Valuation_DCF'!$B$30)</x:f>
        <x:v>31.52128832190332</x:v>
      </x:c>
      <x:c r="E9" s="102" t="n">
        <x:f>IF($A9&lt;=E$4,NA(),(('Valuation_DCF'!$B$14/(1+$A9)^1+'Valuation_DCF'!$C$14/(1+$A9)^2+'Valuation_DCF'!$D$14/(1+$A9)^3+'Valuation_DCF'!$E$14/(1+$A9)^4+'Valuation_DCF'!$F$14/(1+$A9)^5)+(('Valuation_DCF'!$F$14*(1+E$4)/($A9-E$4))/(1+$A9)^5)-'Valuation_DCF'!$B$28)/'Valuation_DCF'!$B$30)</x:f>
        <x:v>35.23454932288303</x:v>
      </x:c>
      <x:c r="F9" s="102" t="n">
        <x:f>IF($A9&lt;=F$4,NA(),(('Valuation_DCF'!$B$14/(1+$A9)^1+'Valuation_DCF'!$C$14/(1+$A9)^2+'Valuation_DCF'!$D$14/(1+$A9)^3+'Valuation_DCF'!$E$14/(1+$A9)^4+'Valuation_DCF'!$F$14/(1+$A9)^5)+(('Valuation_DCF'!$F$14*(1+F$4)/($A9-F$4))/(1+$A9)^5)-'Valuation_DCF'!$B$28)/'Valuation_DCF'!$B$30)</x:f>
        <x:v>40.18556399085598</x:v>
      </x:c>
    </x:row>
    <x:row r="10">
      <x:c r="A10" s="142" t="n">
        <x:v>0.12</x:v>
      </x:c>
      <x:c r="B10" s="102" t="n">
        <x:f>IF($A10&lt;=B$4,NA(),(('Valuation_DCF'!$B$14/(1+$A10)^1+'Valuation_DCF'!$C$14/(1+$A10)^2+'Valuation_DCF'!$D$14/(1+$A10)^3+'Valuation_DCF'!$E$14/(1+$A10)^4+'Valuation_DCF'!$F$14/(1+$A10)^5)+(('Valuation_DCF'!$F$14*(1+B$4)/($A10-B$4))/(1+$A10)^5)-'Valuation_DCF'!$B$28)/'Valuation_DCF'!$B$30)</x:f>
        <x:v>23.590982731952355</x:v>
      </x:c>
      <x:c r="C10" s="102" t="n">
        <x:f>IF($A10&lt;=C$4,NA(),(('Valuation_DCF'!$B$14/(1+$A10)^1+'Valuation_DCF'!$C$14/(1+$A10)^2+'Valuation_DCF'!$D$14/(1+$A10)^3+'Valuation_DCF'!$E$14/(1+$A10)^4+'Valuation_DCF'!$F$14/(1+$A10)^5)+(('Valuation_DCF'!$F$14*(1+C$4)/($A10-C$4))/(1+$A10)^5)-'Valuation_DCF'!$B$28)/'Valuation_DCF'!$B$30)</x:f>
        <x:v>25.41475514726936</x:v>
      </x:c>
      <x:c r="D10" s="102" t="n">
        <x:f>IF($A10&lt;=D$4,NA(),(('Valuation_DCF'!$B$14/(1+$A10)^1+'Valuation_DCF'!$C$14/(1+$A10)^2+'Valuation_DCF'!$D$14/(1+$A10)^3+'Valuation_DCF'!$E$14/(1+$A10)^4+'Valuation_DCF'!$F$14/(1+$A10)^5)+(('Valuation_DCF'!$F$14*(1+D$4)/($A10-D$4))/(1+$A10)^5)-'Valuation_DCF'!$B$28)/'Valuation_DCF'!$B$30)</x:f>
        <x:v>27.643810321545708</x:v>
      </x:c>
      <x:c r="E10" s="102" t="n">
        <x:f>IF($A10&lt;=E$4,NA(),(('Valuation_DCF'!$B$14/(1+$A10)^1+'Valuation_DCF'!$C$14/(1+$A10)^2+'Valuation_DCF'!$D$14/(1+$A10)^3+'Valuation_DCF'!$E$14/(1+$A10)^4+'Valuation_DCF'!$F$14/(1+$A10)^5)+(('Valuation_DCF'!$F$14*(1+E$4)/($A10-E$4))/(1+$A10)^5)-'Valuation_DCF'!$B$28)/'Valuation_DCF'!$B$30)</x:f>
        <x:v>30.430129289391132</x:v>
      </x:c>
      <x:c r="F10" s="102" t="n">
        <x:f>IF($A10&lt;=F$4,NA(),(('Valuation_DCF'!$B$14/(1+$A10)^1+'Valuation_DCF'!$C$14/(1+$A10)^2+'Valuation_DCF'!$D$14/(1+$A10)^3+'Valuation_DCF'!$E$14/(1+$A10)^4+'Valuation_DCF'!$F$14/(1+$A10)^5)+(('Valuation_DCF'!$F$14*(1+F$4)/($A10-F$4))/(1+$A10)^5)-'Valuation_DCF'!$B$28)/'Valuation_DCF'!$B$30)</x:f>
        <x:v>34.01253939090669</x:v>
      </x:c>
    </x:row>
    <x:row r="13">
      <x:c r="A13" s="14" t="str">
        <x:v>Implied Share Price: WACC vs Exit EBITDA Multiple</x:v>
      </x:c>
      <x:c r="B13" s="14" t="str">
        <x:v>Implied Share Price: WACC vs Exit EBITDA Multiple</x:v>
      </x:c>
      <x:c r="C13" s="14" t="str">
        <x:v>Implied Share Price: WACC vs Exit EBITDA Multiple</x:v>
      </x:c>
      <x:c r="D13" s="14" t="str">
        <x:v>Implied Share Price: WACC vs Exit EBITDA Multiple</x:v>
      </x:c>
      <x:c r="E13" s="14" t="str">
        <x:v>Implied Share Price: WACC vs Exit EBITDA Multiple</x:v>
      </x:c>
      <x:c r="F13" s="14" t="str">
        <x:v>Implied Share Price: WACC vs Exit EBITDA Multiple</x:v>
      </x:c>
    </x:row>
    <x:row r="14">
      <x:c r="A14" s="20" t="str">
        <x:v>WACC \ Exit Multiple</x:v>
      </x:c>
      <x:c r="B14" s="145" t="n">
        <x:v>8</x:v>
      </x:c>
      <x:c r="C14" s="145" t="n">
        <x:v>10</x:v>
      </x:c>
      <x:c r="D14" s="145" t="n">
        <x:v>12</x:v>
      </x:c>
      <x:c r="E14" s="145" t="n">
        <x:v>14</x:v>
      </x:c>
      <x:c r="F14" s="146" t="n">
        <x:v>16</x:v>
      </x:c>
    </x:row>
    <x:row r="15">
      <x:c r="A15" s="140" t="n">
        <x:v>0.07</x:v>
      </x:c>
      <x:c r="B15" s="102" t="n">
        <x:f>(('Valuation_DCF'!$B$14/(1+$A15)^1+'Valuation_DCF'!$C$14/(1+$A15)^2+'Valuation_DCF'!$D$14/(1+$A15)^3+'Valuation_DCF'!$E$14/(1+$A15)^4+'Valuation_DCF'!$F$14/(1+$A15)^5)+('Valuation_DCF'!$F$7*B$14/(1+$A15)^5)-'Valuation_DCF'!$B$28)/'Valuation_DCF'!$B$30</x:f>
        <x:v>42.30519941202479</x:v>
      </x:c>
      <x:c r="C15" s="102" t="n">
        <x:f>(('Valuation_DCF'!$B$14/(1+$A15)^1+'Valuation_DCF'!$C$14/(1+$A15)^2+'Valuation_DCF'!$D$14/(1+$A15)^3+'Valuation_DCF'!$E$14/(1+$A15)^4+'Valuation_DCF'!$F$14/(1+$A15)^5)+('Valuation_DCF'!$F$7*C$14/(1+$A15)^5)-'Valuation_DCF'!$B$28)/'Valuation_DCF'!$B$30</x:f>
        <x:v>50.74475050137614</x:v>
      </x:c>
      <x:c r="D15" s="102" t="n">
        <x:f>(('Valuation_DCF'!$B$14/(1+$A15)^1+'Valuation_DCF'!$C$14/(1+$A15)^2+'Valuation_DCF'!$D$14/(1+$A15)^3+'Valuation_DCF'!$E$14/(1+$A15)^4+'Valuation_DCF'!$F$14/(1+$A15)^5)+('Valuation_DCF'!$F$7*D$14/(1+$A15)^5)-'Valuation_DCF'!$B$28)/'Valuation_DCF'!$B$30</x:f>
        <x:v>59.18430159072748</x:v>
      </x:c>
      <x:c r="E15" s="102" t="n">
        <x:f>(('Valuation_DCF'!$B$14/(1+$A15)^1+'Valuation_DCF'!$C$14/(1+$A15)^2+'Valuation_DCF'!$D$14/(1+$A15)^3+'Valuation_DCF'!$E$14/(1+$A15)^4+'Valuation_DCF'!$F$14/(1+$A15)^5)+('Valuation_DCF'!$F$7*E$14/(1+$A15)^5)-'Valuation_DCF'!$B$28)/'Valuation_DCF'!$B$30</x:f>
        <x:v>67.62385268007884</x:v>
      </x:c>
      <x:c r="F15" s="102" t="n">
        <x:f>(('Valuation_DCF'!$B$14/(1+$A15)^1+'Valuation_DCF'!$C$14/(1+$A15)^2+'Valuation_DCF'!$D$14/(1+$A15)^3+'Valuation_DCF'!$E$14/(1+$A15)^4+'Valuation_DCF'!$F$14/(1+$A15)^5)+('Valuation_DCF'!$F$7*F$14/(1+$A15)^5)-'Valuation_DCF'!$B$28)/'Valuation_DCF'!$B$30</x:f>
        <x:v>76.06340376943018</x:v>
      </x:c>
    </x:row>
    <x:row r="16">
      <x:c r="A16" s="141" t="n">
        <x:v>0.08</x:v>
      </x:c>
      <x:c r="B16" s="102" t="n">
        <x:f>(('Valuation_DCF'!$B$14/(1+$A16)^1+'Valuation_DCF'!$C$14/(1+$A16)^2+'Valuation_DCF'!$D$14/(1+$A16)^3+'Valuation_DCF'!$E$14/(1+$A16)^4+'Valuation_DCF'!$F$14/(1+$A16)^5)+('Valuation_DCF'!$F$7*B$14/(1+$A16)^5)-'Valuation_DCF'!$B$28)/'Valuation_DCF'!$B$30</x:f>
        <x:v>40.46603703703703</x:v>
      </x:c>
      <x:c r="C16" s="102" t="n">
        <x:f>(('Valuation_DCF'!$B$14/(1+$A16)^1+'Valuation_DCF'!$C$14/(1+$A16)^2+'Valuation_DCF'!$D$14/(1+$A16)^3+'Valuation_DCF'!$E$14/(1+$A16)^4+'Valuation_DCF'!$F$14/(1+$A16)^5)+('Valuation_DCF'!$F$7*C$14/(1+$A16)^5)-'Valuation_DCF'!$B$28)/'Valuation_DCF'!$B$30</x:f>
        <x:v>48.52203703703704</x:v>
      </x:c>
      <x:c r="D16" s="102" t="n">
        <x:f>(('Valuation_DCF'!$B$14/(1+$A16)^1+'Valuation_DCF'!$C$14/(1+$A16)^2+'Valuation_DCF'!$D$14/(1+$A16)^3+'Valuation_DCF'!$E$14/(1+$A16)^4+'Valuation_DCF'!$F$14/(1+$A16)^5)+('Valuation_DCF'!$F$7*D$14/(1+$A16)^5)-'Valuation_DCF'!$B$28)/'Valuation_DCF'!$B$30</x:f>
        <x:v>56.57803703703703</x:v>
      </x:c>
      <x:c r="E16" s="102" t="n">
        <x:f>(('Valuation_DCF'!$B$14/(1+$A16)^1+'Valuation_DCF'!$C$14/(1+$A16)^2+'Valuation_DCF'!$D$14/(1+$A16)^3+'Valuation_DCF'!$E$14/(1+$A16)^4+'Valuation_DCF'!$F$14/(1+$A16)^5)+('Valuation_DCF'!$F$7*E$14/(1+$A16)^5)-'Valuation_DCF'!$B$28)/'Valuation_DCF'!$B$30</x:f>
        <x:v>64.63403703703703</x:v>
      </x:c>
      <x:c r="F16" s="102" t="n">
        <x:f>(('Valuation_DCF'!$B$14/(1+$A16)^1+'Valuation_DCF'!$C$14/(1+$A16)^2+'Valuation_DCF'!$D$14/(1+$A16)^3+'Valuation_DCF'!$E$14/(1+$A16)^4+'Valuation_DCF'!$F$14/(1+$A16)^5)+('Valuation_DCF'!$F$7*F$14/(1+$A16)^5)-'Valuation_DCF'!$B$28)/'Valuation_DCF'!$B$30</x:f>
        <x:v>72.69003703703703</x:v>
      </x:c>
    </x:row>
    <x:row r="17">
      <x:c r="A17" s="141" t="n">
        <x:v>0.09</x:v>
      </x:c>
      <x:c r="B17" s="102" t="n">
        <x:f>(('Valuation_DCF'!$B$14/(1+$A17)^1+'Valuation_DCF'!$C$14/(1+$A17)^2+'Valuation_DCF'!$D$14/(1+$A17)^3+'Valuation_DCF'!$E$14/(1+$A17)^4+'Valuation_DCF'!$F$14/(1+$A17)^5)+('Valuation_DCF'!$F$7*B$14/(1+$A17)^5)-'Valuation_DCF'!$B$28)/'Valuation_DCF'!$B$30</x:f>
        <x:v>38.72268586069964</x:v>
      </x:c>
      <x:c r="C17" s="102" t="n">
        <x:f>(('Valuation_DCF'!$B$14/(1+$A17)^1+'Valuation_DCF'!$C$14/(1+$A17)^2+'Valuation_DCF'!$D$14/(1+$A17)^3+'Valuation_DCF'!$E$14/(1+$A17)^4+'Valuation_DCF'!$F$14/(1+$A17)^5)+('Valuation_DCF'!$F$7*C$14/(1+$A17)^5)-'Valuation_DCF'!$B$28)/'Valuation_DCF'!$B$30</x:f>
        <x:v>46.41586322805067</x:v>
      </x:c>
      <x:c r="D17" s="102" t="n">
        <x:f>(('Valuation_DCF'!$B$14/(1+$A17)^1+'Valuation_DCF'!$C$14/(1+$A17)^2+'Valuation_DCF'!$D$14/(1+$A17)^3+'Valuation_DCF'!$E$14/(1+$A17)^4+'Valuation_DCF'!$F$14/(1+$A17)^5)+('Valuation_DCF'!$F$7*D$14/(1+$A17)^5)-'Valuation_DCF'!$B$28)/'Valuation_DCF'!$B$30</x:f>
        <x:v>54.10904059540167</x:v>
      </x:c>
      <x:c r="E17" s="102" t="n">
        <x:f>(('Valuation_DCF'!$B$14/(1+$A17)^1+'Valuation_DCF'!$C$14/(1+$A17)^2+'Valuation_DCF'!$D$14/(1+$A17)^3+'Valuation_DCF'!$E$14/(1+$A17)^4+'Valuation_DCF'!$F$14/(1+$A17)^5)+('Valuation_DCF'!$F$7*E$14/(1+$A17)^5)-'Valuation_DCF'!$B$28)/'Valuation_DCF'!$B$30</x:f>
        <x:v>61.802217962752714</x:v>
      </x:c>
      <x:c r="F17" s="102" t="n">
        <x:f>(('Valuation_DCF'!$B$14/(1+$A17)^1+'Valuation_DCF'!$C$14/(1+$A17)^2+'Valuation_DCF'!$D$14/(1+$A17)^3+'Valuation_DCF'!$E$14/(1+$A17)^4+'Valuation_DCF'!$F$14/(1+$A17)^5)+('Valuation_DCF'!$F$7*F$14/(1+$A17)^5)-'Valuation_DCF'!$B$28)/'Valuation_DCF'!$B$30</x:f>
        <x:v>69.49539533010373</x:v>
      </x:c>
    </x:row>
    <x:row r="18">
      <x:c r="A18" s="141" t="n">
        <x:v>0.1</x:v>
      </x:c>
      <x:c r="B18" s="102" t="n">
        <x:f>(('Valuation_DCF'!$B$14/(1+$A18)^1+'Valuation_DCF'!$C$14/(1+$A18)^2+'Valuation_DCF'!$D$14/(1+$A18)^3+'Valuation_DCF'!$E$14/(1+$A18)^4+'Valuation_DCF'!$F$14/(1+$A18)^5)+('Valuation_DCF'!$F$7*B$14/(1+$A18)^5)-'Valuation_DCF'!$B$28)/'Valuation_DCF'!$B$30</x:f>
        <x:v>37.06927158783739</x:v>
      </x:c>
      <x:c r="C18" s="102" t="n">
        <x:f>(('Valuation_DCF'!$B$14/(1+$A18)^1+'Valuation_DCF'!$C$14/(1+$A18)^2+'Valuation_DCF'!$D$14/(1+$A18)^3+'Valuation_DCF'!$E$14/(1+$A18)^4+'Valuation_DCF'!$F$14/(1+$A18)^5)+('Valuation_DCF'!$F$7*C$14/(1+$A18)^5)-'Valuation_DCF'!$B$28)/'Valuation_DCF'!$B$30</x:f>
        <x:v>44.41905953494781</x:v>
      </x:c>
      <x:c r="D18" s="102" t="n">
        <x:f>(('Valuation_DCF'!$B$14/(1+$A18)^1+'Valuation_DCF'!$C$14/(1+$A18)^2+'Valuation_DCF'!$D$14/(1+$A18)^3+'Valuation_DCF'!$E$14/(1+$A18)^4+'Valuation_DCF'!$F$14/(1+$A18)^5)+('Valuation_DCF'!$F$7*D$14/(1+$A18)^5)-'Valuation_DCF'!$B$28)/'Valuation_DCF'!$B$30</x:f>
        <x:v>51.76884748205822</x:v>
      </x:c>
      <x:c r="E18" s="102" t="n">
        <x:f>(('Valuation_DCF'!$B$14/(1+$A18)^1+'Valuation_DCF'!$C$14/(1+$A18)^2+'Valuation_DCF'!$D$14/(1+$A18)^3+'Valuation_DCF'!$E$14/(1+$A18)^4+'Valuation_DCF'!$F$14/(1+$A18)^5)+('Valuation_DCF'!$F$7*E$14/(1+$A18)^5)-'Valuation_DCF'!$B$28)/'Valuation_DCF'!$B$30</x:f>
        <x:v>59.11863542916864</x:v>
      </x:c>
      <x:c r="F18" s="102" t="n">
        <x:f>(('Valuation_DCF'!$B$14/(1+$A18)^1+'Valuation_DCF'!$C$14/(1+$A18)^2+'Valuation_DCF'!$D$14/(1+$A18)^3+'Valuation_DCF'!$E$14/(1+$A18)^4+'Valuation_DCF'!$F$14/(1+$A18)^5)+('Valuation_DCF'!$F$7*F$14/(1+$A18)^5)-'Valuation_DCF'!$B$28)/'Valuation_DCF'!$B$30</x:f>
        <x:v>66.46842337627906</x:v>
      </x:c>
    </x:row>
    <x:row r="19">
      <x:c r="A19" s="141" t="n">
        <x:v>0.11</x:v>
      </x:c>
      <x:c r="B19" s="102" t="n">
        <x:f>(('Valuation_DCF'!$B$14/(1+$A19)^1+'Valuation_DCF'!$C$14/(1+$A19)^2+'Valuation_DCF'!$D$14/(1+$A19)^3+'Valuation_DCF'!$E$14/(1+$A19)^4+'Valuation_DCF'!$F$14/(1+$A19)^5)+('Valuation_DCF'!$F$7*B$14/(1+$A19)^5)-'Valuation_DCF'!$B$28)/'Valuation_DCF'!$B$30</x:f>
        <x:v>35.500330901893385</x:v>
      </x:c>
      <x:c r="C19" s="102" t="n">
        <x:f>(('Valuation_DCF'!$B$14/(1+$A19)^1+'Valuation_DCF'!$C$14/(1+$A19)^2+'Valuation_DCF'!$D$14/(1+$A19)^3+'Valuation_DCF'!$E$14/(1+$A19)^4+'Valuation_DCF'!$F$14/(1+$A19)^5)+('Valuation_DCF'!$F$7*C$14/(1+$A19)^5)-'Valuation_DCF'!$B$28)/'Valuation_DCF'!$B$30</x:f>
        <x:v>42.5249590732566</x:v>
      </x:c>
      <x:c r="D19" s="102" t="n">
        <x:f>(('Valuation_DCF'!$B$14/(1+$A19)^1+'Valuation_DCF'!$C$14/(1+$A19)^2+'Valuation_DCF'!$D$14/(1+$A19)^3+'Valuation_DCF'!$E$14/(1+$A19)^4+'Valuation_DCF'!$F$14/(1+$A19)^5)+('Valuation_DCF'!$F$7*D$14/(1+$A19)^5)-'Valuation_DCF'!$B$28)/'Valuation_DCF'!$B$30</x:f>
        <x:v>49.54958724461982</x:v>
      </x:c>
      <x:c r="E19" s="102" t="n">
        <x:f>(('Valuation_DCF'!$B$14/(1+$A19)^1+'Valuation_DCF'!$C$14/(1+$A19)^2+'Valuation_DCF'!$D$14/(1+$A19)^3+'Valuation_DCF'!$E$14/(1+$A19)^4+'Valuation_DCF'!$F$14/(1+$A19)^5)+('Valuation_DCF'!$F$7*E$14/(1+$A19)^5)-'Valuation_DCF'!$B$28)/'Valuation_DCF'!$B$30</x:f>
        <x:v>56.574215415983055</x:v>
      </x:c>
      <x:c r="F19" s="102" t="n">
        <x:f>(('Valuation_DCF'!$B$14/(1+$A19)^1+'Valuation_DCF'!$C$14/(1+$A19)^2+'Valuation_DCF'!$D$14/(1+$A19)^3+'Valuation_DCF'!$E$14/(1+$A19)^4+'Valuation_DCF'!$F$14/(1+$A19)^5)+('Valuation_DCF'!$F$7*F$14/(1+$A19)^5)-'Valuation_DCF'!$B$28)/'Valuation_DCF'!$B$30</x:f>
        <x:v>63.59884358734627</x:v>
      </x:c>
    </x:row>
    <x:row r="20">
      <x:c r="A20" s="142" t="n">
        <x:v>0.12</x:v>
      </x:c>
      <x:c r="B20" s="102" t="n">
        <x:f>(('Valuation_DCF'!$B$14/(1+$A20)^1+'Valuation_DCF'!$C$14/(1+$A20)^2+'Valuation_DCF'!$D$14/(1+$A20)^3+'Valuation_DCF'!$E$14/(1+$A20)^4+'Valuation_DCF'!$F$14/(1+$A20)^5)+('Valuation_DCF'!$F$7*B$14/(1+$A20)^5)-'Valuation_DCF'!$B$28)/'Valuation_DCF'!$B$30</x:f>
        <x:v>34.01077928112867</x:v>
      </x:c>
      <x:c r="C20" s="102" t="n">
        <x:f>(('Valuation_DCF'!$B$14/(1+$A20)^1+'Valuation_DCF'!$C$14/(1+$A20)^2+'Valuation_DCF'!$D$14/(1+$A20)^3+'Valuation_DCF'!$E$14/(1+$A20)^4+'Valuation_DCF'!$F$14/(1+$A20)^5)+('Valuation_DCF'!$F$7*C$14/(1+$A20)^5)-'Valuation_DCF'!$B$28)/'Valuation_DCF'!$B$30</x:f>
        <x:v>40.727358194025825</x:v>
      </x:c>
      <x:c r="D20" s="102" t="n">
        <x:f>(('Valuation_DCF'!$B$14/(1+$A20)^1+'Valuation_DCF'!$C$14/(1+$A20)^2+'Valuation_DCF'!$D$14/(1+$A20)^3+'Valuation_DCF'!$E$14/(1+$A20)^4+'Valuation_DCF'!$F$14/(1+$A20)^5)+('Valuation_DCF'!$F$7*D$14/(1+$A20)^5)-'Valuation_DCF'!$B$28)/'Valuation_DCF'!$B$30</x:f>
        <x:v>47.443937106922974</x:v>
      </x:c>
      <x:c r="E20" s="102" t="n">
        <x:f>(('Valuation_DCF'!$B$14/(1+$A20)^1+'Valuation_DCF'!$C$14/(1+$A20)^2+'Valuation_DCF'!$D$14/(1+$A20)^3+'Valuation_DCF'!$E$14/(1+$A20)^4+'Valuation_DCF'!$F$14/(1+$A20)^5)+('Valuation_DCF'!$F$7*E$14/(1+$A20)^5)-'Valuation_DCF'!$B$28)/'Valuation_DCF'!$B$30</x:f>
        <x:v>54.16051601982014</x:v>
      </x:c>
      <x:c r="F20" s="102" t="n">
        <x:f>(('Valuation_DCF'!$B$14/(1+$A20)^1+'Valuation_DCF'!$C$14/(1+$A20)^2+'Valuation_DCF'!$D$14/(1+$A20)^3+'Valuation_DCF'!$E$14/(1+$A20)^4+'Valuation_DCF'!$F$14/(1+$A20)^5)+('Valuation_DCF'!$F$7*F$14/(1+$A20)^5)-'Valuation_DCF'!$B$28)/'Valuation_DCF'!$B$30</x:f>
        <x:v>60.87709493271729</x:v>
      </x:c>
    </x:row>
    <x:row r="23">
      <x:c r="A23" s="39" t="str">
        <x:v>Sensitivity tables recalculate valuation mechanics from row and column drivers. They are not pasted static outputs.</x:v>
      </x:c>
      <x:c r="B23" s="39"/>
      <x:c r="C23" s="39"/>
      <x:c r="D23" s="39"/>
      <x:c r="E23" s="39"/>
      <x:c r="F23" s="39"/>
      <x:c r="G23" s="39"/>
      <x:c r="H23" s="39"/>
    </x:row>
    <x:row r="24">
      <x:c r="A24" s="39"/>
      <x:c r="B24" s="39"/>
      <x:c r="C24" s="39"/>
      <x:c r="D24" s="39"/>
      <x:c r="E24" s="39"/>
      <x:c r="F24" s="39"/>
      <x:c r="G24" s="39"/>
      <x:c r="H24" s="39"/>
    </x:row>
    <x:row r="25">
      <x:c r="A25" s="39"/>
      <x:c r="B25" s="39"/>
      <x:c r="C25" s="39"/>
      <x:c r="D25" s="39"/>
      <x:c r="E25" s="39"/>
      <x:c r="F25" s="39"/>
      <x:c r="G25" s="39"/>
      <x:c r="H25" s="39"/>
    </x:row>
    <x:row r="26">
      <x:c r="A26" s="39"/>
      <x:c r="B26" s="39"/>
      <x:c r="C26" s="39"/>
      <x:c r="D26" s="39"/>
      <x:c r="E26" s="39"/>
      <x:c r="F26" s="39"/>
      <x:c r="G26" s="39"/>
      <x:c r="H26" s="39"/>
    </x:row>
  </x:sheetData>
  <x:mergeCells>
    <x:mergeCell ref="A1:H1"/>
    <x:mergeCell ref="A3:F3"/>
    <x:mergeCell ref="A13:F13"/>
    <x:mergeCell ref="A23:H26"/>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3" max="3" width="16" hidden="0" customWidth="1"/>
    <x:col min="4" max="4" width="16" hidden="0" customWidth="1"/>
    <x:col min="5" max="5" width="16" hidden="0" customWidth="1"/>
    <x:col min="6" max="6" width="18" hidden="0" customWidth="1"/>
    <x:col min="7" max="7" width="36" hidden="0" customWidth="1"/>
  </x:cols>
  <x:sheetData>
    <x:row r="1" ht="30" customHeight="1">
      <x:c r="A1" s="4" t="str">
        <x:v>Model Checks</x:v>
      </x:c>
      <x:c r="B1" s="4" t="str">
        <x:v>Model Checks</x:v>
      </x:c>
      <x:c r="C1" s="4" t="str">
        <x:v>Model Checks</x:v>
      </x:c>
      <x:c r="D1" s="4" t="str">
        <x:v>Model Checks</x:v>
      </x:c>
      <x:c r="E1" s="4" t="str">
        <x:v>Model Checks</x:v>
      </x:c>
      <x:c r="F1" s="4" t="str">
        <x:v>Model Checks</x:v>
      </x:c>
      <x:c r="G1" s="4" t="str">
        <x:v>Model Checks</x:v>
      </x:c>
    </x:row>
    <x:row r="3">
      <x:c r="A3" s="148" t="str">
        <x:v>MODEL STATUS</x:v>
      </x:c>
      <x:c r="B3" s="148" t="str">
        <x:f>IF(COUNTIF(F6:F13,"FAIL")=0,"PASS","FAIL")</x:f>
        <x:v>PASS</x:v>
      </x:c>
    </x:row>
    <x:row r="5">
      <x:c r="A5" s="20" t="str">
        <x:v>Check</x:v>
      </x:c>
      <x:c r="B5" s="21" t="str">
        <x:v>Actual</x:v>
      </x:c>
      <x:c r="C5" s="21" t="str">
        <x:v>Expected</x:v>
      </x:c>
      <x:c r="D5" s="21" t="str">
        <x:v>Difference</x:v>
      </x:c>
      <x:c r="E5" s="21" t="str">
        <x:v>Tolerance</x:v>
      </x:c>
      <x:c r="F5" s="21" t="str">
        <x:v>Status</x:v>
      </x:c>
      <x:c r="G5" s="22" t="str">
        <x:v>Notes</x:v>
      </x:c>
    </x:row>
    <x:row r="6">
      <x:c r="A6" t="str">
        <x:v>Scenario selector valid</x:v>
      </x:c>
      <x:c r="B6" s="149" t="b">
        <x:f>IFERROR(MATCH('Assumptions'!$B$25,'Assumptions'!$F$4:$H$4,0)&gt;0,0)</x:f>
        <x:v>1</x:v>
      </x:c>
      <x:c r="C6" s="149" t="b">
        <x:f>TRUE</x:f>
        <x:v>1</x:v>
      </x:c>
      <x:c r="D6" s="149" t="b">
        <x:f>B6=C6</x:f>
        <x:v>1</x:v>
      </x:c>
      <x:c r="E6" s="149" t="b">
        <x:f>TRUE</x:f>
        <x:v>1</x:v>
      </x:c>
      <x:c r="F6" s="150" t="str">
        <x:f>IF(D6=E6,"OK","FAIL")</x:f>
        <x:v>OK</x:v>
      </x:c>
      <x:c r="G6" t="str">
        <x:v>Selected scenario must match Downside/Base/Upside.</x:v>
      </x:c>
    </x:row>
    <x:row r="7">
      <x:c r="A7" t="str">
        <x:v>Terminal spread positive</x:v>
      </x:c>
      <x:c r="B7" s="149" t="b">
        <x:f>IF('Assumptions'!$B$16&gt;'Assumptions'!$B$17,TRUE,FALSE)</x:f>
        <x:v>1</x:v>
      </x:c>
      <x:c r="C7" s="149" t="b">
        <x:f>TRUE</x:f>
        <x:v>1</x:v>
      </x:c>
      <x:c r="D7" s="149" t="b">
        <x:f>B7=C7</x:f>
        <x:v>1</x:v>
      </x:c>
      <x:c r="E7" s="149" t="b">
        <x:f>TRUE</x:f>
        <x:v>1</x:v>
      </x:c>
      <x:c r="F7" s="150" t="str">
        <x:f>IF(D7=E7,"OK","FAIL")</x:f>
        <x:v>OK</x:v>
      </x:c>
      <x:c r="G7" t="str">
        <x:v>WACC must exceed terminal growth for Gordon Growth method.</x:v>
      </x:c>
    </x:row>
    <x:row r="8">
      <x:c r="A8" t="str">
        <x:v>Revenue forecast positive</x:v>
      </x:c>
      <x:c r="B8" s="100" t="n">
        <x:f>COUNTIF('Historical_Financials'!$H$8:$L$8,"&gt;0")</x:f>
        <x:v>5</x:v>
      </x:c>
      <x:c r="C8" s="100" t="n">
        <x:f>5</x:f>
        <x:v>5</x:v>
      </x:c>
      <x:c r="D8" s="100" t="n">
        <x:f>B8-C8</x:f>
        <x:v>0</x:v>
      </x:c>
      <x:c r="E8" s="100" t="n">
        <x:f>0</x:f>
        <x:v>0</x:v>
      </x:c>
      <x:c r="F8" s="150" t="str">
        <x:f>IF(ABS(D8)&lt;=E8,"OK","FAIL")</x:f>
        <x:v>OK</x:v>
      </x:c>
      <x:c r="G8" t="str">
        <x:v>All forecast revenue periods should be &gt; 0.</x:v>
      </x:c>
    </x:row>
    <x:row r="9">
      <x:c r="A9" t="str">
        <x:v>Latest actual revenue populated</x:v>
      </x:c>
      <x:c r="B9" s="100" t="n">
        <x:f>IF('Historical_Financials'!$G$8&gt;0,1,0)</x:f>
        <x:v>1</x:v>
      </x:c>
      <x:c r="C9" s="100" t="n">
        <x:f>1</x:f>
        <x:v>1</x:v>
      </x:c>
      <x:c r="D9" s="100" t="n">
        <x:f>B9-C9</x:f>
        <x:v>0</x:v>
      </x:c>
      <x:c r="E9" s="100" t="n">
        <x:f>0</x:f>
        <x:v>0</x:v>
      </x:c>
      <x:c r="F9" s="150" t="str">
        <x:f>IF(ABS(D9)&lt;=E9,"OK","FAIL")</x:f>
        <x:v>OK</x:v>
      </x:c>
      <x:c r="G9" t="str">
        <x:v>Replace placeholders with actual latest year revenue.</x:v>
      </x:c>
    </x:row>
    <x:row r="10">
      <x:c r="A10" t="str">
        <x:v>Latest actual EBITDA populated</x:v>
      </x:c>
      <x:c r="B10" s="100" t="n">
        <x:f>IF('Historical_Financials'!$G$12&gt;0,1,0)</x:f>
        <x:v>1</x:v>
      </x:c>
      <x:c r="C10" s="100" t="n">
        <x:f>1</x:f>
        <x:v>1</x:v>
      </x:c>
      <x:c r="D10" s="100" t="n">
        <x:f>B10-C10</x:f>
        <x:v>0</x:v>
      </x:c>
      <x:c r="E10" s="100" t="n">
        <x:f>0</x:f>
        <x:v>0</x:v>
      </x:c>
      <x:c r="F10" s="150" t="str">
        <x:f>IF(ABS(D10)&lt;=E10,"OK","FAIL")</x:f>
        <x:v>OK</x:v>
      </x:c>
      <x:c r="G10" t="str">
        <x:v>Replace placeholders with actual latest year EBITDA.</x:v>
      </x:c>
    </x:row>
    <x:row r="11">
      <x:c r="A11" t="str">
        <x:v>DCF output populated</x:v>
      </x:c>
      <x:c r="B11" s="100" t="n">
        <x:f>IF('Valuation_DCF'!$B$31&gt;0,1,0)</x:f>
        <x:v>1</x:v>
      </x:c>
      <x:c r="C11" s="100" t="n">
        <x:f>1</x:f>
        <x:v>1</x:v>
      </x:c>
      <x:c r="D11" s="100" t="n">
        <x:f>B11-C11</x:f>
        <x:v>0</x:v>
      </x:c>
      <x:c r="E11" s="100" t="n">
        <x:f>0</x:f>
        <x:v>0</x:v>
      </x:c>
      <x:c r="F11" s="150" t="str">
        <x:f>IF(ABS(D11)&lt;=E11,"OK","FAIL")</x:f>
        <x:v>OK</x:v>
      </x:c>
      <x:c r="G11" t="str">
        <x:v>Implied share price should calculate.</x:v>
      </x:c>
    </x:row>
    <x:row r="12">
      <x:c r="A12" t="str">
        <x:v>Net debt bridge</x:v>
      </x:c>
      <x:c r="B12" s="100" t="n">
        <x:f>'Historical_Financials'!$G$21</x:f>
        <x:v>250</x:v>
      </x:c>
      <x:c r="C12" s="100" t="n">
        <x:f>'Historical_Financials'!$G$20-'Historical_Financials'!$G$19</x:f>
        <x:v>250</x:v>
      </x:c>
      <x:c r="D12" s="100" t="n">
        <x:f>B12-C12</x:f>
        <x:v>0</x:v>
      </x:c>
      <x:c r="E12" s="100" t="n">
        <x:f>0.1</x:f>
        <x:v>0.1</x:v>
      </x:c>
      <x:c r="F12" s="150" t="str">
        <x:f>IF(ABS(D12)&lt;=E12,"OK","FAIL")</x:f>
        <x:v>OK</x:v>
      </x:c>
      <x:c r="G12" t="str">
        <x:v>Net debt equals debt minus cash.</x:v>
      </x:c>
    </x:row>
    <x:row r="13">
      <x:c r="A13" t="str">
        <x:v>FCF tie-out latest forecast</x:v>
      </x:c>
      <x:c r="B13" s="100" t="n">
        <x:f>'Valuation_DCF'!$F$14</x:f>
        <x:v>315.67153241088005</x:v>
      </x:c>
      <x:c r="C13" s="100" t="n">
        <x:f>'Valuation_DCF'!$F$10+'Valuation_DCF'!$F$11-'Valuation_DCF'!$F$12-'Valuation_DCF'!$F$13</x:f>
        <x:v>315.67153241088005</x:v>
      </x:c>
      <x:c r="D13" s="100" t="n">
        <x:f>B13-C13</x:f>
        <x:v>0</x:v>
      </x:c>
      <x:c r="E13" s="100" t="n">
        <x:f>0.1</x:f>
        <x:v>0.1</x:v>
      </x:c>
      <x:c r="F13" s="150" t="str">
        <x:f>IF(ABS(D13)&lt;=E13,"OK","FAIL")</x:f>
        <x:v>OK</x:v>
      </x:c>
      <x:c r="G13" t="str">
        <x:v>FCF equals NOPAT + D&amp;A - Capex - Change in NWC.</x:v>
      </x:c>
    </x:row>
  </x:sheetData>
  <x:mergeCells>
    <x:mergeCell ref="A1:G1"/>
  </x:mergeCells>
  <x:conditionalFormatting sqref="F6:F13">
    <x:cfRule type="containsText" dxfId="0" priority="1" operator="containsText" text="OK"/>
    <x:cfRule type="containsText" dxfId="1" priority="2" operator="containsText" text="FAIL"/>
  </x:conditionalFormatting>
  <x:conditionalFormatting sqref="B3:B3">
    <x:cfRule type="containsText" dxfId="2" priority="3" operator="containsText" text="PASS"/>
    <x:cfRule type="containsText" dxfId="3" priority="4" operator="containsText" text="FAIL"/>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6" hidden="0" customWidth="1"/>
    <x:col min="2" max="2" width="18" hidden="0" customWidth="1"/>
    <x:col min="3" max="3" width="12" hidden="0" customWidth="1"/>
    <x:col min="4" max="4" width="18" hidden="0" customWidth="1"/>
    <x:col min="5" max="5" width="16" hidden="0" customWidth="1"/>
    <x:col min="6" max="6" width="28" hidden="0" customWidth="1"/>
    <x:col min="7" max="7" width="52" hidden="0" customWidth="1"/>
    <x:col min="8" max="8" width="18" hidden="0" customWidth="1"/>
    <x:col min="9" max="9" width="38" hidden="0" customWidth="1"/>
    <x:col min="10" max="10" width="20" hidden="0" customWidth="1"/>
  </x:cols>
  <x:sheetData>
    <x:row r="1" ht="30" customHeight="1">
      <x:c r="A1" s="4" t="str">
        <x:v>Sources and Audit Trail</x:v>
      </x:c>
      <x:c r="B1" s="4" t="str">
        <x:v>Sources and Audit Trail</x:v>
      </x:c>
      <x:c r="C1" s="4" t="str">
        <x:v>Sources and Audit Trail</x:v>
      </x:c>
      <x:c r="D1" s="4" t="str">
        <x:v>Sources and Audit Trail</x:v>
      </x:c>
      <x:c r="E1" s="4" t="str">
        <x:v>Sources and Audit Trail</x:v>
      </x:c>
      <x:c r="F1" s="4" t="str">
        <x:v>Sources and Audit Trail</x:v>
      </x:c>
      <x:c r="G1" s="4" t="str">
        <x:v>Sources and Audit Trail</x:v>
      </x:c>
      <x:c r="H1" s="4" t="str">
        <x:v>Sources and Audit Trail</x:v>
      </x:c>
      <x:c r="I1" s="4" t="str">
        <x:v>Sources and Audit Trail</x:v>
      </x:c>
      <x:c r="J1" s="4" t="str">
        <x:v>Sources and Audit Trail</x:v>
      </x:c>
    </x:row>
    <x:row r="3">
      <x:c r="A3" s="14" t="str">
        <x:v>Source Log</x:v>
      </x:c>
      <x:c r="B3" s="14" t="str">
        <x:v>Source Log</x:v>
      </x:c>
      <x:c r="C3" s="14" t="str">
        <x:v>Source Log</x:v>
      </x:c>
      <x:c r="D3" s="14" t="str">
        <x:v>Source Log</x:v>
      </x:c>
      <x:c r="E3" s="14" t="str">
        <x:v>Source Log</x:v>
      </x:c>
      <x:c r="F3" s="14" t="str">
        <x:v>Source Log</x:v>
      </x:c>
      <x:c r="G3" s="14" t="str">
        <x:v>Source Log</x:v>
      </x:c>
      <x:c r="H3" s="14" t="str">
        <x:v>Source Log</x:v>
      </x:c>
      <x:c r="I3" s="14" t="str">
        <x:v>Source Log</x:v>
      </x:c>
      <x:c r="J3" s="14" t="str">
        <x:v>Source Log</x:v>
      </x:c>
    </x:row>
    <x:row r="4">
      <x:c r="A4" s="20" t="str">
        <x:v>Item</x:v>
      </x:c>
      <x:c r="B4" s="21" t="str">
        <x:v>Value</x:v>
      </x:c>
      <x:c r="C4" s="21" t="str">
        <x:v>Units</x:v>
      </x:c>
      <x:c r="D4" s="21" t="str">
        <x:v>Period / As-of</x:v>
      </x:c>
      <x:c r="E4" s="21" t="str">
        <x:v>Source Type</x:v>
      </x:c>
      <x:c r="F4" s="21" t="str">
        <x:v>Source Name</x:v>
      </x:c>
      <x:c r="G4" s="21" t="str">
        <x:v>Ref / URL</x:v>
      </x:c>
      <x:c r="H4" s="21" t="str">
        <x:v>Owner</x:v>
      </x:c>
      <x:c r="I4" s="21" t="str">
        <x:v>Notes</x:v>
      </x:c>
      <x:c r="J4" s="22" t="str">
        <x:v>Accessed / Refreshed</x:v>
      </x:c>
    </x:row>
    <x:row r="5">
      <x:c r="A5" t="str">
        <x:v>Historical financials</x:v>
      </x:c>
      <x:c r="B5" t="str">
        <x:v>Placeholder</x:v>
      </x:c>
      <x:c r="C5" t="str">
        <x:v>$mm</x:v>
      </x:c>
      <x:c r="D5" t="str">
        <x:v>2020A-2025A</x:v>
      </x:c>
      <x:c r="E5" t="str">
        <x:v>User input</x:v>
      </x:c>
      <x:c r="F5" t="str">
        <x:v>Replace with filing data</x:v>
      </x:c>
      <x:c r="G5" s="7" t="str">
        <x:v>https://www.sec.gov/edgar/search/</x:v>
      </x:c>
      <x:c r="H5" t="str">
        <x:v>User</x:v>
      </x:c>
      <x:c r="I5" s="7" t="str">
        <x:v>Illustrative values only. Replace before analysis use.</x:v>
      </x:c>
      <x:c r="J5" s="152" t="n">
        <x:v>46204</x:v>
      </x:c>
    </x:row>
    <x:row r="6">
      <x:c r="A6" t="str">
        <x:v>Current share price</x:v>
      </x:c>
      <x:c r="B6" s="151" t="n">
        <x:v>100</x:v>
      </x:c>
      <x:c r="C6" t="str">
        <x:v>$ / share</x:v>
      </x:c>
      <x:c r="D6" t="str">
        <x:v>Valuation date</x:v>
      </x:c>
      <x:c r="E6" t="str">
        <x:v>User input</x:v>
      </x:c>
      <x:c r="F6" t="str">
        <x:v>Market data</x:v>
      </x:c>
      <x:c r="G6" s="7" t="str">
        <x:v>Add source URL</x:v>
      </x:c>
      <x:c r="H6" t="str">
        <x:v>User</x:v>
      </x:c>
      <x:c r="I6" s="7" t="str">
        <x:v>Illustrative value.</x:v>
      </x:c>
      <x:c r="J6" s="152" t="n">
        <x:v>46204</x:v>
      </x:c>
    </x:row>
    <x:row r="7">
      <x:c r="A7" t="str">
        <x:v>Diluted shares</x:v>
      </x:c>
      <x:c r="B7" s="151" t="n">
        <x:v>100</x:v>
      </x:c>
      <x:c r="C7" t="str">
        <x:v>mm</x:v>
      </x:c>
      <x:c r="D7" t="str">
        <x:v>Latest filing</x:v>
      </x:c>
      <x:c r="E7" t="str">
        <x:v>User input</x:v>
      </x:c>
      <x:c r="F7" t="str">
        <x:v>10-K / 10-Q</x:v>
      </x:c>
      <x:c r="G7" s="7" t="str">
        <x:v>Add source URL</x:v>
      </x:c>
      <x:c r="H7" t="str">
        <x:v>User</x:v>
      </x:c>
      <x:c r="I7" s="7" t="str">
        <x:v>Illustrative value.</x:v>
      </x:c>
      <x:c r="J7" s="152" t="n">
        <x:v>46204</x:v>
      </x:c>
    </x:row>
    <x:row r="8">
      <x:c r="A8" t="str">
        <x:v>Cash and equivalents</x:v>
      </x:c>
      <x:c r="B8" s="151" t="n">
        <x:v>250</x:v>
      </x:c>
      <x:c r="C8" t="str">
        <x:v>$mm</x:v>
      </x:c>
      <x:c r="D8" t="str">
        <x:v>Latest filing</x:v>
      </x:c>
      <x:c r="E8" t="str">
        <x:v>User input</x:v>
      </x:c>
      <x:c r="F8" t="str">
        <x:v>Balance sheet</x:v>
      </x:c>
      <x:c r="G8" s="7" t="str">
        <x:v>Add source URL</x:v>
      </x:c>
      <x:c r="H8" t="str">
        <x:v>User</x:v>
      </x:c>
      <x:c r="I8" s="7" t="str">
        <x:v>Illustrative value.</x:v>
      </x:c>
      <x:c r="J8" s="152" t="n">
        <x:v>46204</x:v>
      </x:c>
    </x:row>
    <x:row r="9">
      <x:c r="A9" t="str">
        <x:v>Total debt</x:v>
      </x:c>
      <x:c r="B9" t="n">
        <x:v>500</x:v>
      </x:c>
      <x:c r="C9" t="str">
        <x:v>$mm</x:v>
      </x:c>
      <x:c r="D9" t="str">
        <x:v>Latest filing</x:v>
      </x:c>
      <x:c r="E9" t="str">
        <x:v>User input</x:v>
      </x:c>
      <x:c r="F9" t="str">
        <x:v>Balance sheet</x:v>
      </x:c>
      <x:c r="G9" s="7" t="str">
        <x:v>Add source URL</x:v>
      </x:c>
      <x:c r="H9" t="str">
        <x:v>User</x:v>
      </x:c>
      <x:c r="I9" s="7" t="str">
        <x:v>Illustrative value.</x:v>
      </x:c>
      <x:c r="J9" s="152" t="n">
        <x:v>46204</x:v>
      </x:c>
    </x:row>
    <x:row r="10">
      <x:c r="A10" t="str">
        <x:v>Scenario drivers</x:v>
      </x:c>
      <x:c r="B10" t="str">
        <x:v>Placeholder</x:v>
      </x:c>
      <x:c r="C10" t="str">
        <x:v>% / x</x:v>
      </x:c>
      <x:c r="D10" t="str">
        <x:v>Forecast</x:v>
      </x:c>
      <x:c r="E10" t="str">
        <x:v>Assumption</x:v>
      </x:c>
      <x:c r="F10" t="str">
        <x:v>Analyst case</x:v>
      </x:c>
      <x:c r="G10" s="7" t="str">
        <x:v>Add source URL</x:v>
      </x:c>
      <x:c r="H10" t="str">
        <x:v>User</x:v>
      </x:c>
      <x:c r="I10" s="7" t="str">
        <x:v>Replace with management guidance or analyst assumptions.</x:v>
      </x:c>
      <x:c r="J10" s="152" t="n">
        <x:v>46204</x:v>
      </x:c>
    </x:row>
    <x:row r="11">
      <x:c r="A11" t="str">
        <x:v>Tax rate / WACC / Terminal Growth</x:v>
      </x:c>
      <x:c r="B11" t="str">
        <x:v>Placeholder</x:v>
      </x:c>
      <x:c r="C11" t="str">
        <x:v>%</x:v>
      </x:c>
      <x:c r="D11" t="str">
        <x:v>Forecast</x:v>
      </x:c>
      <x:c r="E11" t="str">
        <x:v>Assumption</x:v>
      </x:c>
      <x:c r="F11" t="str">
        <x:v>Valuation assumptions</x:v>
      </x:c>
      <x:c r="G11" s="7" t="str">
        <x:v>Add source URL</x:v>
      </x:c>
      <x:c r="H11" t="str">
        <x:v>User</x:v>
      </x:c>
      <x:c r="I11" s="7" t="str">
        <x:v>Document methodology before investment use.</x:v>
      </x:c>
      <x:c r="J11" s="152" t="n">
        <x:v>46204</x:v>
      </x:c>
    </x:row>
    <x:row r="13">
      <x:c r="A13" s="39" t="str">
        <x:v>When real company data is added, cite primary sources here. For public US companies, SEC EDGAR filings are usually the starting point. Use company investor relations pages for presentations and earnings releases where relevant.</x:v>
      </x:c>
      <x:c r="B13" s="39"/>
      <x:c r="C13" s="39"/>
      <x:c r="D13" s="39"/>
      <x:c r="E13" s="39"/>
      <x:c r="F13" s="39"/>
      <x:c r="G13" s="39"/>
      <x:c r="H13" s="39"/>
      <x:c r="I13" s="39"/>
      <x:c r="J13" s="39"/>
    </x:row>
    <x:row r="14">
      <x:c r="A14" s="39"/>
      <x:c r="B14" s="39"/>
      <x:c r="C14" s="39"/>
      <x:c r="D14" s="39"/>
      <x:c r="E14" s="39"/>
      <x:c r="F14" s="39"/>
      <x:c r="G14" s="39"/>
      <x:c r="H14" s="39"/>
      <x:c r="I14" s="39"/>
      <x:c r="J14" s="39"/>
    </x:row>
    <x:row r="15">
      <x:c r="A15" s="39"/>
      <x:c r="B15" s="39"/>
      <x:c r="C15" s="39"/>
      <x:c r="D15" s="39"/>
      <x:c r="E15" s="39"/>
      <x:c r="F15" s="39"/>
      <x:c r="G15" s="39"/>
      <x:c r="H15" s="39"/>
      <x:c r="I15" s="39"/>
      <x:c r="J15" s="39"/>
    </x:row>
    <x:row r="16">
      <x:c r="A16" s="39"/>
      <x:c r="B16" s="39"/>
      <x:c r="C16" s="39"/>
      <x:c r="D16" s="39"/>
      <x:c r="E16" s="39"/>
      <x:c r="F16" s="39"/>
      <x:c r="G16" s="39"/>
      <x:c r="H16" s="39"/>
      <x:c r="I16" s="39"/>
      <x:c r="J16" s="39"/>
    </x:row>
  </x:sheetData>
  <x:mergeCells>
    <x:mergeCell ref="A1:J1"/>
    <x:mergeCell ref="A3:J3"/>
    <x:mergeCell ref="A13:J16"/>
  </x:mergeCells>
  <x:pageMargins left="0.7" right="0.7" top="0.75" bottom="0.75" header="0.3" footer="0.3"/>
</x:worksheet>
</file>